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auschcloud-my.sharepoint.com/personal/jose_vila_bausch_com/Documents/Escritorio/CASOS CLINICA/vithas parque san antonio/casos lux life rocha/"/>
    </mc:Choice>
  </mc:AlternateContent>
  <xr:revisionPtr revIDLastSave="0" documentId="8_{DF342789-5C6C-4042-8671-F689BF13012B}" xr6:coauthVersionLast="47" xr6:coauthVersionMax="47" xr10:uidLastSave="{00000000-0000-0000-0000-000000000000}"/>
  <bookViews>
    <workbookView xWindow="-110" yWindow="-110" windowWidth="19420" windowHeight="11500" firstSheet="3" activeTab="3" xr2:uid="{8ADB81C1-1C72-44AC-B679-91F4D01CE375}"/>
  </bookViews>
  <sheets>
    <sheet name="Envy Experience - Input" sheetId="2" state="hidden" r:id="rId1"/>
    <sheet name="Sheet2" sheetId="13" state="hidden" r:id="rId2"/>
    <sheet name="Envy Experience - Results" sheetId="10" state="hidden" r:id="rId3"/>
    <sheet name="Envy Experience Tracker " sheetId="14" r:id="rId4"/>
    <sheet name="Apthera IOL Exper - Print Old -" sheetId="12" state="hidden" r:id="rId5"/>
    <sheet name="Sheet1" sheetId="11" state="hidden" r:id="rId6"/>
    <sheet name="Parameters" sheetId="3" state="hidden" r:id="rId7"/>
  </sheets>
  <definedNames>
    <definedName name="List" localSheetId="4">'Apthera IOL Exper - Print Old -'!$G$8:$G$27</definedName>
    <definedName name="List" localSheetId="3">'Envy Experience Tracker '!$AD$7:$AD$37</definedName>
    <definedName name="List">'Envy Experience - Input'!$G$8:$G$27</definedName>
    <definedName name="NumVal">Parameters!$J$2</definedName>
    <definedName name="PatientIdentifier">OFFSET(#REF!,0,0,COUNTA(#REF!),1)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A8" i="14" l="1"/>
  <c r="EA9" i="14"/>
  <c r="EA10" i="14"/>
  <c r="EA11" i="14"/>
  <c r="EA12" i="14"/>
  <c r="EA13" i="14"/>
  <c r="EA14" i="14"/>
  <c r="EA15" i="14"/>
  <c r="EA16" i="14"/>
  <c r="EA17" i="14"/>
  <c r="EA18" i="14"/>
  <c r="EA19" i="14"/>
  <c r="EA20" i="14"/>
  <c r="EA21" i="14"/>
  <c r="EA22" i="14"/>
  <c r="EA23" i="14"/>
  <c r="EA24" i="14"/>
  <c r="EA25" i="14"/>
  <c r="EA26" i="14"/>
  <c r="EA27" i="14"/>
  <c r="EA28" i="14"/>
  <c r="EA29" i="14"/>
  <c r="EA30" i="14"/>
  <c r="EA31" i="14"/>
  <c r="EA32" i="14"/>
  <c r="EA33" i="14"/>
  <c r="EA34" i="14"/>
  <c r="EA35" i="14"/>
  <c r="EA36" i="14"/>
  <c r="EA37" i="14"/>
  <c r="DW8" i="14"/>
  <c r="DW9" i="14"/>
  <c r="DW10" i="14"/>
  <c r="DW11" i="14"/>
  <c r="DW12" i="14"/>
  <c r="DW13" i="14"/>
  <c r="DW14" i="14"/>
  <c r="DW15" i="14"/>
  <c r="DW16" i="14"/>
  <c r="DW17" i="14"/>
  <c r="DW18" i="14"/>
  <c r="DW19" i="14"/>
  <c r="DW20" i="14"/>
  <c r="DW21" i="14"/>
  <c r="DW22" i="14"/>
  <c r="DW23" i="14"/>
  <c r="DW24" i="14"/>
  <c r="DW25" i="14"/>
  <c r="DW26" i="14"/>
  <c r="DW27" i="14"/>
  <c r="DW28" i="14"/>
  <c r="DW29" i="14"/>
  <c r="DW30" i="14"/>
  <c r="DW31" i="14"/>
  <c r="DW32" i="14"/>
  <c r="DW33" i="14"/>
  <c r="DW34" i="14"/>
  <c r="DW35" i="14"/>
  <c r="DW36" i="14"/>
  <c r="DW37" i="14"/>
  <c r="DC8" i="14"/>
  <c r="DC9" i="14"/>
  <c r="DC10" i="14"/>
  <c r="DC11" i="14"/>
  <c r="DC12" i="14"/>
  <c r="DC13" i="14"/>
  <c r="DC14" i="14"/>
  <c r="DC15" i="14"/>
  <c r="DC16" i="14"/>
  <c r="DC17" i="14"/>
  <c r="DC18" i="14"/>
  <c r="DC19" i="14"/>
  <c r="DC20" i="14"/>
  <c r="DC21" i="14"/>
  <c r="DC22" i="14"/>
  <c r="DC23" i="14"/>
  <c r="DC24" i="14"/>
  <c r="DC25" i="14"/>
  <c r="DC26" i="14"/>
  <c r="DC27" i="14"/>
  <c r="DC28" i="14"/>
  <c r="DC29" i="14"/>
  <c r="DC30" i="14"/>
  <c r="DC31" i="14"/>
  <c r="DC32" i="14"/>
  <c r="DC33" i="14"/>
  <c r="DC34" i="14"/>
  <c r="DC35" i="14"/>
  <c r="DC36" i="14"/>
  <c r="DC37" i="14"/>
  <c r="CY8" i="14"/>
  <c r="CY9" i="14"/>
  <c r="CY10" i="14"/>
  <c r="CY11" i="14"/>
  <c r="CY12" i="14"/>
  <c r="CY13" i="14"/>
  <c r="CY14" i="14"/>
  <c r="CY15" i="14"/>
  <c r="CY16" i="14"/>
  <c r="CY17" i="14"/>
  <c r="CY18" i="14"/>
  <c r="CY19" i="14"/>
  <c r="CY20" i="14"/>
  <c r="CY21" i="14"/>
  <c r="CY22" i="14"/>
  <c r="CY23" i="14"/>
  <c r="CY24" i="14"/>
  <c r="CY25" i="14"/>
  <c r="CY26" i="14"/>
  <c r="CY27" i="14"/>
  <c r="CY28" i="14"/>
  <c r="CY29" i="14"/>
  <c r="CY30" i="14"/>
  <c r="CY31" i="14"/>
  <c r="CY32" i="14"/>
  <c r="CY33" i="14"/>
  <c r="CY34" i="14"/>
  <c r="CY35" i="14"/>
  <c r="CY36" i="14"/>
  <c r="CY37" i="14"/>
  <c r="CE8" i="14"/>
  <c r="CE9" i="14"/>
  <c r="CE10" i="14"/>
  <c r="CE11" i="14"/>
  <c r="CE12" i="14"/>
  <c r="CE13" i="14"/>
  <c r="CE14" i="14"/>
  <c r="CE15" i="14"/>
  <c r="CE16" i="14"/>
  <c r="CE17" i="14"/>
  <c r="CE18" i="14"/>
  <c r="CE19" i="14"/>
  <c r="CE20" i="14"/>
  <c r="CE21" i="14"/>
  <c r="CE22" i="14"/>
  <c r="CE23" i="14"/>
  <c r="CE24" i="14"/>
  <c r="CE25" i="14"/>
  <c r="CE26" i="14"/>
  <c r="CE27" i="14"/>
  <c r="CE28" i="14"/>
  <c r="CE29" i="14"/>
  <c r="CE30" i="14"/>
  <c r="CE31" i="14"/>
  <c r="CE32" i="14"/>
  <c r="CE33" i="14"/>
  <c r="CE34" i="14"/>
  <c r="CE35" i="14"/>
  <c r="CE36" i="14"/>
  <c r="CE37" i="14"/>
  <c r="CA8" i="14"/>
  <c r="CA9" i="14"/>
  <c r="CA10" i="14"/>
  <c r="CA11" i="14"/>
  <c r="CA12" i="14"/>
  <c r="CA13" i="14"/>
  <c r="CA14" i="14"/>
  <c r="CA15" i="14"/>
  <c r="CA16" i="14"/>
  <c r="CA17" i="14"/>
  <c r="CA18" i="14"/>
  <c r="CA19" i="14"/>
  <c r="CA20" i="14"/>
  <c r="CA21" i="14"/>
  <c r="CA22" i="14"/>
  <c r="CA23" i="14"/>
  <c r="CA24" i="14"/>
  <c r="CA25" i="14"/>
  <c r="CA26" i="14"/>
  <c r="CA27" i="14"/>
  <c r="CA28" i="14"/>
  <c r="CA29" i="14"/>
  <c r="CA30" i="14"/>
  <c r="CA31" i="14"/>
  <c r="CA32" i="14"/>
  <c r="CA33" i="14"/>
  <c r="CA34" i="14"/>
  <c r="CA35" i="14"/>
  <c r="CA36" i="14"/>
  <c r="CA37" i="14"/>
  <c r="BG8" i="14"/>
  <c r="BG9" i="14"/>
  <c r="BG10" i="14"/>
  <c r="BG11" i="14"/>
  <c r="BG12" i="14"/>
  <c r="BG13" i="14"/>
  <c r="BG14" i="14"/>
  <c r="BG15" i="14"/>
  <c r="BG16" i="14"/>
  <c r="BG17" i="14"/>
  <c r="BG18" i="14"/>
  <c r="BG19" i="14"/>
  <c r="BG20" i="14"/>
  <c r="BG21" i="14"/>
  <c r="BG22" i="14"/>
  <c r="BG23" i="14"/>
  <c r="BG24" i="14"/>
  <c r="BG25" i="14"/>
  <c r="BG26" i="14"/>
  <c r="BG27" i="14"/>
  <c r="BG28" i="14"/>
  <c r="BG29" i="14"/>
  <c r="BG30" i="14"/>
  <c r="BG31" i="14"/>
  <c r="BG32" i="14"/>
  <c r="BG33" i="14"/>
  <c r="BG34" i="14"/>
  <c r="BG35" i="14"/>
  <c r="BG36" i="14"/>
  <c r="BG37" i="14"/>
  <c r="BC8" i="14"/>
  <c r="BC9" i="14"/>
  <c r="BC10" i="14"/>
  <c r="BC11" i="14"/>
  <c r="BC12" i="14"/>
  <c r="BC13" i="14"/>
  <c r="BC14" i="14"/>
  <c r="BC15" i="14"/>
  <c r="BC16" i="14"/>
  <c r="BC17" i="14"/>
  <c r="BC18" i="14"/>
  <c r="BC19" i="14"/>
  <c r="BC20" i="14"/>
  <c r="BC21" i="14"/>
  <c r="BC22" i="14"/>
  <c r="BC23" i="14"/>
  <c r="BC24" i="14"/>
  <c r="BC25" i="14"/>
  <c r="BC26" i="14"/>
  <c r="BC27" i="14"/>
  <c r="BC28" i="14"/>
  <c r="BC29" i="14"/>
  <c r="BC30" i="14"/>
  <c r="BC31" i="14"/>
  <c r="BC32" i="14"/>
  <c r="BC33" i="14"/>
  <c r="BC34" i="14"/>
  <c r="BC35" i="14"/>
  <c r="BC36" i="14"/>
  <c r="BC3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M28" i="14"/>
  <c r="M29" i="14"/>
  <c r="M30" i="14"/>
  <c r="M31" i="14"/>
  <c r="M32" i="14"/>
  <c r="M33" i="14"/>
  <c r="M34" i="14"/>
  <c r="M35" i="14"/>
  <c r="M36" i="14"/>
  <c r="M3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B121" i="10"/>
  <c r="C121" i="10"/>
  <c r="D121" i="10"/>
  <c r="E121" i="10"/>
  <c r="B122" i="10"/>
  <c r="C122" i="10"/>
  <c r="D122" i="10"/>
  <c r="E122" i="10"/>
  <c r="B123" i="10"/>
  <c r="C123" i="10"/>
  <c r="D123" i="10"/>
  <c r="E123" i="10"/>
  <c r="B124" i="10"/>
  <c r="C124" i="10"/>
  <c r="D124" i="10"/>
  <c r="E124" i="10"/>
  <c r="B125" i="10"/>
  <c r="C125" i="10"/>
  <c r="D125" i="10"/>
  <c r="E125" i="10"/>
  <c r="B126" i="10"/>
  <c r="C126" i="10"/>
  <c r="D126" i="10"/>
  <c r="E126" i="10"/>
  <c r="B127" i="10"/>
  <c r="C127" i="10"/>
  <c r="D127" i="10"/>
  <c r="E127" i="10"/>
  <c r="B128" i="10"/>
  <c r="C128" i="10"/>
  <c r="D128" i="10"/>
  <c r="E128" i="10"/>
  <c r="E120" i="10"/>
  <c r="D120" i="10"/>
  <c r="C120" i="10"/>
  <c r="B120" i="10"/>
  <c r="C59" i="10"/>
  <c r="D59" i="10"/>
  <c r="E59" i="10"/>
  <c r="C60" i="10"/>
  <c r="D60" i="10"/>
  <c r="E60" i="10"/>
  <c r="C61" i="10"/>
  <c r="D61" i="10"/>
  <c r="E61" i="10"/>
  <c r="C62" i="10"/>
  <c r="D62" i="10"/>
  <c r="E62" i="10"/>
  <c r="C63" i="10"/>
  <c r="D63" i="10"/>
  <c r="E63" i="10"/>
  <c r="C64" i="10"/>
  <c r="D64" i="10"/>
  <c r="E64" i="10"/>
  <c r="C65" i="10"/>
  <c r="D65" i="10"/>
  <c r="E65" i="10"/>
  <c r="C66" i="10"/>
  <c r="D66" i="10"/>
  <c r="E66" i="10"/>
  <c r="E58" i="10"/>
  <c r="D58" i="10"/>
  <c r="C58" i="10"/>
  <c r="B58" i="10"/>
  <c r="B66" i="10"/>
  <c r="B65" i="10"/>
  <c r="B64" i="10"/>
  <c r="B63" i="10"/>
  <c r="B62" i="10"/>
  <c r="B61" i="10"/>
  <c r="B60" i="10"/>
  <c r="B59" i="10"/>
  <c r="D109" i="10"/>
  <c r="D110" i="10"/>
  <c r="D111" i="10"/>
  <c r="D112" i="10"/>
  <c r="D113" i="10"/>
  <c r="D114" i="10"/>
  <c r="D115" i="10"/>
  <c r="D108" i="10"/>
  <c r="B109" i="10"/>
  <c r="B110" i="10"/>
  <c r="B111" i="10"/>
  <c r="B112" i="10"/>
  <c r="B113" i="10"/>
  <c r="B114" i="10"/>
  <c r="B115" i="10"/>
  <c r="B108" i="10"/>
  <c r="D97" i="10"/>
  <c r="D98" i="10"/>
  <c r="D99" i="10"/>
  <c r="D100" i="10"/>
  <c r="D101" i="10"/>
  <c r="D102" i="10"/>
  <c r="D103" i="10"/>
  <c r="D96" i="10"/>
  <c r="B97" i="10"/>
  <c r="B98" i="10"/>
  <c r="B99" i="10"/>
  <c r="B100" i="10"/>
  <c r="B101" i="10"/>
  <c r="B102" i="10"/>
  <c r="B103" i="10"/>
  <c r="B96" i="10"/>
  <c r="D85" i="10"/>
  <c r="D86" i="10"/>
  <c r="D87" i="10"/>
  <c r="D88" i="10"/>
  <c r="D89" i="10"/>
  <c r="D90" i="10"/>
  <c r="D91" i="10"/>
  <c r="D84" i="10"/>
  <c r="B85" i="10"/>
  <c r="B86" i="10"/>
  <c r="B87" i="10"/>
  <c r="B88" i="10"/>
  <c r="B89" i="10"/>
  <c r="B90" i="10"/>
  <c r="B91" i="10"/>
  <c r="B84" i="10"/>
  <c r="D73" i="10"/>
  <c r="D74" i="10"/>
  <c r="D75" i="10"/>
  <c r="D76" i="10"/>
  <c r="D77" i="10"/>
  <c r="D78" i="10"/>
  <c r="D79" i="10"/>
  <c r="D72" i="10"/>
  <c r="B73" i="10"/>
  <c r="B74" i="10"/>
  <c r="B75" i="10"/>
  <c r="B76" i="10"/>
  <c r="B77" i="10"/>
  <c r="B78" i="10"/>
  <c r="B79" i="10"/>
  <c r="B72" i="10"/>
  <c r="D47" i="10"/>
  <c r="D48" i="10"/>
  <c r="D49" i="10"/>
  <c r="D50" i="10"/>
  <c r="D51" i="10"/>
  <c r="D52" i="10"/>
  <c r="D53" i="10"/>
  <c r="D46" i="10"/>
  <c r="B47" i="10"/>
  <c r="B48" i="10"/>
  <c r="B49" i="10"/>
  <c r="B50" i="10"/>
  <c r="B51" i="10"/>
  <c r="B52" i="10"/>
  <c r="B53" i="10"/>
  <c r="B46" i="10"/>
  <c r="D36" i="10"/>
  <c r="D37" i="10"/>
  <c r="D38" i="10"/>
  <c r="D39" i="10"/>
  <c r="D40" i="10"/>
  <c r="D41" i="10"/>
  <c r="D42" i="10"/>
  <c r="D35" i="10"/>
  <c r="B36" i="10"/>
  <c r="B37" i="10"/>
  <c r="B38" i="10"/>
  <c r="B39" i="10"/>
  <c r="B40" i="10"/>
  <c r="B41" i="10"/>
  <c r="B42" i="10"/>
  <c r="B35" i="10"/>
  <c r="B24" i="10"/>
  <c r="D25" i="10"/>
  <c r="D26" i="10"/>
  <c r="D27" i="10"/>
  <c r="D28" i="10"/>
  <c r="D29" i="10"/>
  <c r="D30" i="10"/>
  <c r="D31" i="10"/>
  <c r="D24" i="10"/>
  <c r="B25" i="10"/>
  <c r="B26" i="10"/>
  <c r="B27" i="10"/>
  <c r="B28" i="10"/>
  <c r="B29" i="10"/>
  <c r="B30" i="10"/>
  <c r="B31" i="10"/>
  <c r="D14" i="10"/>
  <c r="D15" i="10"/>
  <c r="D16" i="10"/>
  <c r="D17" i="10"/>
  <c r="D18" i="10"/>
  <c r="D19" i="10"/>
  <c r="D20" i="10"/>
  <c r="D13" i="10"/>
  <c r="B14" i="10"/>
  <c r="B15" i="10"/>
  <c r="B16" i="10"/>
  <c r="B17" i="10"/>
  <c r="B18" i="10"/>
  <c r="B19" i="10"/>
  <c r="B20" i="10"/>
  <c r="B13" i="10"/>
  <c r="F115" i="10"/>
  <c r="F114" i="10"/>
  <c r="F113" i="10"/>
  <c r="F112" i="10"/>
  <c r="F111" i="10"/>
  <c r="F110" i="10"/>
  <c r="F109" i="10"/>
  <c r="F108" i="10"/>
  <c r="M8" i="2"/>
  <c r="M7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X7" i="2"/>
  <c r="V7" i="2" s="1"/>
  <c r="X8" i="2"/>
  <c r="V8" i="2" s="1"/>
  <c r="X9" i="2"/>
  <c r="V9" i="2" s="1"/>
  <c r="X10" i="2"/>
  <c r="V10" i="2" s="1"/>
  <c r="X11" i="2"/>
  <c r="V11" i="2" s="1"/>
  <c r="X12" i="2"/>
  <c r="V12" i="2" s="1"/>
  <c r="X13" i="2"/>
  <c r="V13" i="2" s="1"/>
  <c r="X14" i="2"/>
  <c r="V14" i="2" s="1"/>
  <c r="X15" i="2"/>
  <c r="V15" i="2" s="1"/>
  <c r="X16" i="2"/>
  <c r="V16" i="2" s="1"/>
  <c r="X17" i="2"/>
  <c r="V17" i="2" s="1"/>
  <c r="X18" i="2"/>
  <c r="V18" i="2" s="1"/>
  <c r="X19" i="2"/>
  <c r="V19" i="2" s="1"/>
  <c r="X20" i="2"/>
  <c r="V20" i="2" s="1"/>
  <c r="X21" i="2"/>
  <c r="V21" i="2" s="1"/>
  <c r="X22" i="2"/>
  <c r="V22" i="2" s="1"/>
  <c r="X23" i="2"/>
  <c r="V23" i="2" s="1"/>
  <c r="X24" i="2"/>
  <c r="V24" i="2" s="1"/>
  <c r="X25" i="2"/>
  <c r="V25" i="2" s="1"/>
  <c r="X26" i="2"/>
  <c r="V26" i="2" s="1"/>
  <c r="X27" i="2"/>
  <c r="V27" i="2" s="1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A38" i="12"/>
  <c r="A37" i="12"/>
  <c r="A36" i="12"/>
  <c r="A35" i="12"/>
  <c r="A34" i="12"/>
  <c r="A33" i="12"/>
  <c r="A32" i="12"/>
  <c r="A31" i="12"/>
  <c r="A30" i="12"/>
  <c r="A29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B4" i="10"/>
  <c r="B5" i="10"/>
  <c r="A10" i="10" s="1"/>
  <c r="F47" i="10"/>
  <c r="F48" i="10"/>
  <c r="F49" i="10"/>
  <c r="F50" i="10"/>
  <c r="F51" i="10"/>
  <c r="F52" i="10"/>
  <c r="F53" i="10"/>
  <c r="F46" i="10"/>
  <c r="AA9" i="10"/>
  <c r="AC9" i="10" s="1"/>
  <c r="AB9" i="10" s="1"/>
  <c r="A30" i="2"/>
  <c r="A31" i="2"/>
  <c r="A32" i="2"/>
  <c r="A33" i="2"/>
  <c r="A34" i="2"/>
  <c r="A35" i="2"/>
  <c r="A36" i="2"/>
  <c r="A37" i="2"/>
  <c r="A38" i="2"/>
  <c r="A29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J2" i="3" a="1"/>
  <c r="J2" i="3" s="1"/>
  <c r="L2" i="3" s="1" a="1"/>
  <c r="L2" i="3" s="1"/>
  <c r="H2" i="3" a="1"/>
  <c r="H2" i="3" s="1"/>
  <c r="H3" i="3" s="1" a="1"/>
  <c r="H3" i="3" s="1"/>
  <c r="B7" i="10"/>
  <c r="B6" i="10"/>
  <c r="E102" i="10" l="1"/>
  <c r="W29" i="2"/>
  <c r="AC11" i="10" s="1"/>
  <c r="AB11" i="10" s="1"/>
  <c r="AB6" i="10"/>
  <c r="E108" i="10"/>
  <c r="E116" i="10" s="1"/>
  <c r="E90" i="10"/>
  <c r="E14" i="10"/>
  <c r="E31" i="10"/>
  <c r="E46" i="10"/>
  <c r="E54" i="10" s="1"/>
  <c r="E84" i="10"/>
  <c r="E92" i="10" s="1"/>
  <c r="E96" i="10"/>
  <c r="E104" i="10" s="1"/>
  <c r="E52" i="10"/>
  <c r="E16" i="10"/>
  <c r="E26" i="10"/>
  <c r="E38" i="10"/>
  <c r="E49" i="10"/>
  <c r="E75" i="10"/>
  <c r="E78" i="10"/>
  <c r="E47" i="10"/>
  <c r="E91" i="10"/>
  <c r="B116" i="10"/>
  <c r="D116" i="10"/>
  <c r="C20" i="10"/>
  <c r="E20" i="10"/>
  <c r="E30" i="10"/>
  <c r="C42" i="10"/>
  <c r="E42" i="10"/>
  <c r="C53" i="10"/>
  <c r="E53" i="10"/>
  <c r="E79" i="10"/>
  <c r="E19" i="10"/>
  <c r="E29" i="10"/>
  <c r="C111" i="10"/>
  <c r="C102" i="10"/>
  <c r="C108" i="10"/>
  <c r="C116" i="10" s="1"/>
  <c r="C103" i="10"/>
  <c r="C89" i="10"/>
  <c r="C47" i="10"/>
  <c r="C48" i="10"/>
  <c r="C24" i="10"/>
  <c r="C32" i="10" s="1"/>
  <c r="C37" i="10"/>
  <c r="C13" i="10"/>
  <c r="C21" i="10" s="1"/>
  <c r="C17" i="10"/>
  <c r="C101" i="10"/>
  <c r="C112" i="10"/>
  <c r="C115" i="10"/>
  <c r="C74" i="10"/>
  <c r="C88" i="10"/>
  <c r="C86" i="10"/>
  <c r="C51" i="10"/>
  <c r="C31" i="10"/>
  <c r="C35" i="10"/>
  <c r="C43" i="10" s="1"/>
  <c r="A9" i="10"/>
  <c r="C18" i="10"/>
  <c r="C38" i="10"/>
  <c r="C73" i="10"/>
  <c r="C16" i="10"/>
  <c r="C27" i="10"/>
  <c r="C46" i="10"/>
  <c r="C54" i="10" s="1"/>
  <c r="C78" i="10"/>
  <c r="C90" i="10"/>
  <c r="C97" i="10"/>
  <c r="AB4" i="10"/>
  <c r="AB7" i="10"/>
  <c r="AB5" i="10"/>
  <c r="C30" i="10"/>
  <c r="C26" i="10"/>
  <c r="C49" i="10"/>
  <c r="B80" i="10"/>
  <c r="C91" i="10"/>
  <c r="H4" i="3" a="1"/>
  <c r="H4" i="3" s="1"/>
  <c r="C29" i="10"/>
  <c r="B43" i="10"/>
  <c r="C25" i="10"/>
  <c r="C52" i="10"/>
  <c r="C85" i="10"/>
  <c r="C113" i="10"/>
  <c r="C79" i="10"/>
  <c r="C14" i="10"/>
  <c r="C39" i="10"/>
  <c r="C50" i="10"/>
  <c r="C75" i="10"/>
  <c r="C114" i="10"/>
  <c r="C109" i="10"/>
  <c r="AB8" i="10"/>
  <c r="C15" i="10"/>
  <c r="C36" i="10"/>
  <c r="C84" i="10"/>
  <c r="C92" i="10" s="1"/>
  <c r="C72" i="10"/>
  <c r="C80" i="10" s="1"/>
  <c r="C110" i="10"/>
  <c r="E109" i="10"/>
  <c r="E113" i="10"/>
  <c r="E85" i="10"/>
  <c r="E24" i="10"/>
  <c r="E32" i="10" s="1"/>
  <c r="E114" i="10"/>
  <c r="E97" i="10"/>
  <c r="E76" i="10"/>
  <c r="E72" i="10"/>
  <c r="E80" i="10" s="1"/>
  <c r="A8" i="10"/>
  <c r="E35" i="10"/>
  <c r="E43" i="10" s="1"/>
  <c r="E41" i="10"/>
  <c r="E13" i="10"/>
  <c r="E21" i="10" s="1"/>
  <c r="W28" i="2"/>
  <c r="AA10" i="10" s="1"/>
  <c r="AC10" i="10" s="1"/>
  <c r="AB10" i="10" s="1"/>
  <c r="B21" i="10"/>
  <c r="E17" i="10"/>
  <c r="E27" i="10"/>
  <c r="E39" i="10"/>
  <c r="E50" i="10"/>
  <c r="C76" i="10"/>
  <c r="E88" i="10"/>
  <c r="C96" i="10"/>
  <c r="C104" i="10" s="1"/>
  <c r="C100" i="10"/>
  <c r="E100" i="10"/>
  <c r="E112" i="10"/>
  <c r="B92" i="10"/>
  <c r="E87" i="10"/>
  <c r="C99" i="10"/>
  <c r="E103" i="10"/>
  <c r="E99" i="10"/>
  <c r="E115" i="10"/>
  <c r="E111" i="10"/>
  <c r="C19" i="10"/>
  <c r="E25" i="10"/>
  <c r="C41" i="10"/>
  <c r="D43" i="10"/>
  <c r="B54" i="10"/>
  <c r="D54" i="10"/>
  <c r="E74" i="10"/>
  <c r="E86" i="10"/>
  <c r="C98" i="10"/>
  <c r="E98" i="10"/>
  <c r="E110" i="10"/>
  <c r="D21" i="10"/>
  <c r="E18" i="10"/>
  <c r="C28" i="10"/>
  <c r="E28" i="10"/>
  <c r="B32" i="10"/>
  <c r="C40" i="10"/>
  <c r="E40" i="10"/>
  <c r="E36" i="10"/>
  <c r="E51" i="10"/>
  <c r="C77" i="10"/>
  <c r="E77" i="10"/>
  <c r="D80" i="10"/>
  <c r="E89" i="10"/>
  <c r="D92" i="10"/>
  <c r="E101" i="10"/>
  <c r="C87" i="10"/>
  <c r="E37" i="10"/>
  <c r="D104" i="10"/>
  <c r="E48" i="10"/>
  <c r="B104" i="10"/>
  <c r="D32" i="10"/>
  <c r="E15" i="10"/>
  <c r="E73" i="10"/>
  <c r="AA11" i="10" l="1"/>
  <c r="Z11" i="10" s="1"/>
  <c r="H5" i="3" a="1"/>
  <c r="H5" i="3" s="1"/>
  <c r="Z9" i="10" l="1"/>
  <c r="Z10" i="10"/>
  <c r="H6" i="3" a="1"/>
  <c r="H6" i="3" s="1"/>
  <c r="H7" i="3" s="1" a="1"/>
  <c r="H7" i="3" s="1"/>
  <c r="H8" i="3" l="1" a="1"/>
  <c r="H8" i="3" s="1"/>
  <c r="H9" i="3" l="1" a="1"/>
  <c r="H9" i="3" s="1"/>
  <c r="H10" i="3" l="1" a="1"/>
  <c r="H10" i="3" s="1"/>
  <c r="H11" i="3" s="1" a="1"/>
  <c r="H11" i="3" s="1"/>
  <c r="H12" i="3" s="1" a="1"/>
  <c r="H12" i="3" s="1"/>
  <c r="H13" i="3" s="1" a="1"/>
  <c r="H13" i="3" s="1"/>
  <c r="H14" i="3" l="1" a="1"/>
  <c r="H14" i="3" s="1"/>
  <c r="H15" i="3" s="1" a="1"/>
  <c r="H15" i="3" s="1"/>
  <c r="H16" i="3" s="1" a="1"/>
  <c r="H16" i="3" s="1"/>
  <c r="H17" i="3" s="1" a="1"/>
  <c r="H17" i="3" s="1"/>
  <c r="H18" i="3" s="1" a="1"/>
  <c r="H18" i="3" s="1"/>
  <c r="H19" i="3" s="1" a="1"/>
  <c r="H19" i="3" s="1"/>
  <c r="H20" i="3" s="1" a="1"/>
  <c r="H20" i="3" s="1"/>
  <c r="H21" i="3" s="1" a="1"/>
  <c r="H21" i="3" s="1"/>
  <c r="H22" i="3" s="1" a="1"/>
  <c r="H22" i="3" s="1"/>
  <c r="P1" i="3" s="1" a="1"/>
  <c r="P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<sst xmlns="http://schemas.openxmlformats.org/spreadsheetml/2006/main" count="497" uniqueCount="178">
  <si>
    <t>Include Y/N
This provides opportunity to remove outliers that would affect results, i.e. post refractive, corneal/retinal pathology or questionable outcomes noted when reviewing data</t>
  </si>
  <si>
    <t>Column1</t>
  </si>
  <si>
    <t>IOL Power</t>
  </si>
  <si>
    <t>Lens Type</t>
  </si>
  <si>
    <t>Patient Identifier</t>
  </si>
  <si>
    <t>Est. Date Of Service</t>
  </si>
  <si>
    <t>Eye (OD/OS)</t>
  </si>
  <si>
    <t>SEQ Target</t>
  </si>
  <si>
    <t>Pre Op Flat K</t>
  </si>
  <si>
    <t>Pre-Op Steep K</t>
  </si>
  <si>
    <t>Flat &amp; Steep K Diff</t>
  </si>
  <si>
    <t>BCDVA</t>
  </si>
  <si>
    <t>UCDVA</t>
  </si>
  <si>
    <t>UCIVA</t>
  </si>
  <si>
    <t>UCNVA</t>
  </si>
  <si>
    <t>SEQ Outcome</t>
  </si>
  <si>
    <t>Refractive Residual Cylinder</t>
  </si>
  <si>
    <t>Corneal Residual Cylinder</t>
  </si>
  <si>
    <t>Include (Y/N)</t>
  </si>
  <si>
    <t>SEQ Diff</t>
  </si>
  <si>
    <t>Column12</t>
  </si>
  <si>
    <t xml:space="preserve">Definitions: </t>
  </si>
  <si>
    <t>EX.</t>
  </si>
  <si>
    <t>22.00/1.50</t>
  </si>
  <si>
    <t>enVista</t>
  </si>
  <si>
    <t>99999</t>
  </si>
  <si>
    <t>OD</t>
  </si>
  <si>
    <t>20/20</t>
  </si>
  <si>
    <t>20/25</t>
  </si>
  <si>
    <t>J3</t>
  </si>
  <si>
    <t>No</t>
  </si>
  <si>
    <t>SEQ Target - Surgeon’s expected predict/target</t>
  </si>
  <si>
    <t>SEQ Outcome - Patient’s spherical equivalent refractive outcome</t>
  </si>
  <si>
    <t>SEQ Difference - Difference between expected target and refractive outcome</t>
  </si>
  <si>
    <t>OD: Right Eye</t>
  </si>
  <si>
    <t>OS: Left Eye</t>
  </si>
  <si>
    <t>OU: Both Eyes</t>
  </si>
  <si>
    <t>UCDVA: Uncorrected visual acuity</t>
  </si>
  <si>
    <t>BCDVA: Best corrected distance visual acuity</t>
  </si>
  <si>
    <t>UCIVA: Uncorrected intermediate visual acuity</t>
  </si>
  <si>
    <t>UCNVA: Uncorrected near visual acuity</t>
  </si>
  <si>
    <t>Pre-Op Flat K: Pre-Operative flat corneal curvature</t>
  </si>
  <si>
    <t>Pre-Op Steep K: Pre-Operative steep corneal curvature</t>
  </si>
  <si>
    <t>Flat &amp; Steep K Diff: Difference between flat K and steep K.</t>
  </si>
  <si>
    <t>POST OP - EVALUATION SUMMARY - OU</t>
  </si>
  <si>
    <t>Other Lenses</t>
  </si>
  <si>
    <t>OU</t>
  </si>
  <si>
    <t>Aspire or Aspire Toric</t>
  </si>
  <si>
    <t>enVista Toric</t>
  </si>
  <si>
    <t>Aspire</t>
  </si>
  <si>
    <t>Aspire Toric</t>
  </si>
  <si>
    <t>IC8 - Apthera</t>
  </si>
  <si>
    <t>Other B+L</t>
  </si>
  <si>
    <t>Competitor</t>
  </si>
  <si>
    <t>Lens Type drop down menu</t>
  </si>
  <si>
    <t>Steep K- Flat K</t>
  </si>
  <si>
    <t>Apthera IOL</t>
  </si>
  <si>
    <t>Male</t>
  </si>
  <si>
    <t>k</t>
  </si>
  <si>
    <t>p</t>
  </si>
  <si>
    <t>Female</t>
  </si>
  <si>
    <t>Alreos</t>
  </si>
  <si>
    <t>LI61AO</t>
  </si>
  <si>
    <t>Other</t>
  </si>
  <si>
    <t>Left Eye</t>
  </si>
  <si>
    <t>Both Eyes</t>
  </si>
  <si>
    <t>Post Refractive Surgeries</t>
  </si>
  <si>
    <t>Right Eye</t>
  </si>
  <si>
    <t>Measure</t>
  </si>
  <si>
    <t>Right</t>
  </si>
  <si>
    <t>R %</t>
  </si>
  <si>
    <t>Left</t>
  </si>
  <si>
    <t>L%</t>
  </si>
  <si>
    <t>20/15</t>
  </si>
  <si>
    <t>20/30</t>
  </si>
  <si>
    <t>20/40</t>
  </si>
  <si>
    <t>20/50</t>
  </si>
  <si>
    <t>20/60</t>
  </si>
  <si>
    <t>20/70</t>
  </si>
  <si>
    <t>J1+</t>
  </si>
  <si>
    <t>J1</t>
  </si>
  <si>
    <t>J2</t>
  </si>
  <si>
    <t>J5</t>
  </si>
  <si>
    <t>J6</t>
  </si>
  <si>
    <t>J8</t>
  </si>
  <si>
    <t>J10</t>
  </si>
  <si>
    <t>BCDVA - Aspire</t>
  </si>
  <si>
    <t>Both Eyes competitor</t>
  </si>
  <si>
    <t>Demographics</t>
  </si>
  <si>
    <t>Postop week 1</t>
  </si>
  <si>
    <t xml:space="preserve">Preoperative </t>
  </si>
  <si>
    <t>Postop Month 1</t>
  </si>
  <si>
    <t>Operative</t>
  </si>
  <si>
    <t>Postop Month 3</t>
  </si>
  <si>
    <t>Postop Month 6</t>
  </si>
  <si>
    <t>Preoperative data</t>
  </si>
  <si>
    <t>Operative data</t>
  </si>
  <si>
    <t>Postoperative week 1</t>
  </si>
  <si>
    <t>Postoperative Month 1</t>
  </si>
  <si>
    <t>Postoperative Month 3</t>
  </si>
  <si>
    <t>Postoperative Month 6</t>
  </si>
  <si>
    <t>Patient ID
(Not to be shared)</t>
  </si>
  <si>
    <t>De-identified patient ID</t>
  </si>
  <si>
    <t>Age (years)</t>
  </si>
  <si>
    <t>Gender</t>
  </si>
  <si>
    <t>Race and ethnicity</t>
  </si>
  <si>
    <t>Concomitant Systemic disease</t>
  </si>
  <si>
    <t xml:space="preserve">Concomitant Ocular disease/Prior ocular surgery (If any)     
OD eye                 </t>
  </si>
  <si>
    <t xml:space="preserve">Concomitant Ocular disease/Prior ocular surgery (If any)
OS eye                  </t>
  </si>
  <si>
    <t>Pre-Op 
Flat K
OD eye</t>
  </si>
  <si>
    <t>Pre-Op 
Flat K axis
OD eye</t>
  </si>
  <si>
    <t>Pre-Op 
Steep K
OD eye</t>
  </si>
  <si>
    <t>Pre-Op
 Steep K axis
OD eye</t>
  </si>
  <si>
    <t>Flat and
Steep K
Difference
OD eye</t>
  </si>
  <si>
    <t>Pre-Op
Flat K
OS eye</t>
  </si>
  <si>
    <t>Pre-Op
Flat K axis
OS eye</t>
  </si>
  <si>
    <t>Pre-Op
Steep K
OS eye</t>
  </si>
  <si>
    <t>Pre-Op
Steep K axis
OS eye</t>
  </si>
  <si>
    <t>Flat and
Steep K
Difference
OS eye</t>
  </si>
  <si>
    <t>Date of operative visit
OD eye</t>
  </si>
  <si>
    <t>IOL name
OD eye</t>
  </si>
  <si>
    <t>SEQ IOL Power
OD eye</t>
  </si>
  <si>
    <t>Toric IOL power if the implanted IOL is toric
OD eye</t>
  </si>
  <si>
    <t>SEQ target
OD eye</t>
  </si>
  <si>
    <t>Date of operative visit
OS eye</t>
  </si>
  <si>
    <t>IOL name
OS eye</t>
  </si>
  <si>
    <t>Toric IOL power if the implanted IOL is toric
OS eye</t>
  </si>
  <si>
    <t>SEQ target
OS eye</t>
  </si>
  <si>
    <t>Intra-operative complications 
(If yes, please explain and mention the eye involved is OD/OS/both eyes)</t>
  </si>
  <si>
    <t>Additional surgical procedures 
(If yes, please explain and mention if the procedure was done in OD/OS/both eyes)</t>
  </si>
  <si>
    <t>Date of  postop Week 1 visit</t>
  </si>
  <si>
    <r>
      <t xml:space="preserve">UDVA
20/denominator
OD eye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</si>
  <si>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UDVA
20/denominator
OS eye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</si>
  <si>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UDVA
20/denominator
Binocular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</si>
  <si>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CDVA
20/denominatorOD eye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</si>
  <si>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CDVA
20/denominator
OS eye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</si>
  <si>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CDVA
20/denominator
Binocular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</si>
  <si>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UIVA
20/denominator
OD eye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</si>
  <si>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UIVA
20/denominator
OS eye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</si>
  <si>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r>
      <t xml:space="preserve">UIVA
20/denominator
Binocular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</si>
  <si>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t>UNVA
OD eye</t>
  </si>
  <si>
    <t>UNVA
OS eye</t>
  </si>
  <si>
    <t>UNVA
Binocular</t>
  </si>
  <si>
    <t>Manifest refraction sphere
OD eye</t>
  </si>
  <si>
    <t>Manifest refraction  cylinder
OD eye</t>
  </si>
  <si>
    <r>
      <t xml:space="preserve">Manifest refraction cylinder axis
OD eye
</t>
    </r>
    <r>
      <rPr>
        <b/>
        <i/>
        <sz val="9"/>
        <color theme="0"/>
        <rFont val="Calibri"/>
        <family val="2"/>
        <scheme val="minor"/>
      </rPr>
      <t>(Please enter numbers from 0 to 180 without a degree º sign)</t>
    </r>
  </si>
  <si>
    <t>Manifest refraction spherical equivalent
OD eye</t>
  </si>
  <si>
    <t>Manifest refraction sphere
OS eye</t>
  </si>
  <si>
    <t>Manifest refraction  cylinder
OS eye</t>
  </si>
  <si>
    <t>Manifest refraction spherical equivalent
OS eye</t>
  </si>
  <si>
    <t>Adverse events
(if yes, please list and mention the eye involved)</t>
  </si>
  <si>
    <t>PCO
(If yes, mention the eye and grade of PCO from 0-4)</t>
  </si>
  <si>
    <t>Glistenings 
(If yes, mention the eye in which it occurred and the grade of glistenings from 1-4)</t>
  </si>
  <si>
    <t>Date of  postop  Month 1 visit</t>
  </si>
  <si>
    <t>Date of  postop  Month 3 visit</t>
  </si>
  <si>
    <r>
      <t xml:space="preserve">CDVA
20/denominator
OD eye
</t>
    </r>
    <r>
      <rPr>
        <b/>
        <i/>
        <sz val="9"/>
        <color theme="0"/>
        <rFont val="Calibri"/>
        <family val="2"/>
        <scheme val="minor"/>
      </rPr>
      <t>(please enter denominator only)</t>
    </r>
  </si>
  <si>
    <t>Date of  postop  Month 6 visit</t>
  </si>
  <si>
    <r>
      <t xml:space="preserve">Include Y/N
</t>
    </r>
    <r>
      <rPr>
        <b/>
        <i/>
        <sz val="9"/>
        <color theme="0"/>
        <rFont val="Calibri"/>
        <family val="2"/>
        <scheme val="minor"/>
      </rPr>
      <t>This provides opportunity to remove outliers that would affect results, i.e. post refractive, corneal/retinal pathology or questionable outcomes noted when reviewing data</t>
    </r>
  </si>
  <si>
    <t>Include Y/N
This provides opportunity to remove outliers that would affect results if patient is post-refractive, corneal/retinal pathology or questionable outcomes noted when reviewing data</t>
  </si>
  <si>
    <t>Eye</t>
  </si>
  <si>
    <t>Result</t>
  </si>
  <si>
    <t>UCNVA Result</t>
  </si>
  <si>
    <t>Include</t>
  </si>
  <si>
    <t>Type</t>
  </si>
  <si>
    <t>Distinct List</t>
  </si>
  <si>
    <t>Count of D values</t>
  </si>
  <si>
    <t>Drop List</t>
  </si>
  <si>
    <t>Aspire/Toric</t>
  </si>
  <si>
    <t>Yes</t>
  </si>
  <si>
    <t>Envy</t>
  </si>
  <si>
    <t>OS</t>
  </si>
  <si>
    <t>Envy Toric</t>
  </si>
  <si>
    <t>Pre-Op      ALX             OD eye</t>
  </si>
  <si>
    <t>Pre-Op      ACD            OD eye</t>
  </si>
  <si>
    <t>Pre-op         LT                 OD eye</t>
  </si>
  <si>
    <t>Pre-Op       ALX               OS eye</t>
  </si>
  <si>
    <t>Pre-Op      ACD             OS eye</t>
  </si>
  <si>
    <t>Pre-op         LT                 OS 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</si>
</sst>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F800]dddd\,\ mmmm\ dd\,\ yyyy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Yu Gothic UI Semibold"/>
      <family val="2"/>
    </font>
    <font>
      <b/>
      <sz val="10"/>
      <color theme="0"/>
      <name val="Yu Gothic UI Semibold"/>
      <family val="2"/>
    </font>
    <font>
      <b/>
      <sz val="10"/>
      <color theme="1"/>
      <name val="Yu Gothic UI Semibold"/>
      <family val="2"/>
    </font>
    <font>
      <sz val="10"/>
      <color theme="0"/>
      <name val="Yu Gothic UI Semibold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Yu Gothic UI Semibold"/>
      <family val="2"/>
    </font>
    <font>
      <sz val="10"/>
      <name val="Yu Gothic UI Semibold"/>
      <family val="2"/>
    </font>
    <font>
      <b/>
      <sz val="9"/>
      <color theme="0"/>
      <name val="Yu Gothic UI Semibold"/>
      <family val="2"/>
    </font>
    <font>
      <u/>
      <sz val="9"/>
      <color theme="0"/>
      <name val="Yu Gothic UI Semibold"/>
      <family val="2"/>
    </font>
    <font>
      <sz val="11"/>
      <name val="Calibri"/>
      <family val="2"/>
      <scheme val="minor"/>
    </font>
    <font>
      <u/>
      <sz val="12"/>
      <color theme="0"/>
      <name val="Yu Gothic UI Semibold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Yu Gothic UI Semibold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sz val="12"/>
      <color theme="1"/>
      <name val="Yu Gothic UI Semibold"/>
      <family val="2"/>
    </font>
    <font>
      <u/>
      <sz val="14"/>
      <name val="Calibri"/>
      <family val="2"/>
      <scheme val="minor"/>
    </font>
    <font>
      <sz val="14"/>
      <color theme="1"/>
      <name val="Yu Gothic UI Semibold"/>
      <family val="2"/>
    </font>
    <font>
      <b/>
      <sz val="12"/>
      <color theme="1"/>
      <name val="Yu Gothic UI Semibold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557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49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2" fillId="0" borderId="0" xfId="0" applyFont="1"/>
    <xf numFmtId="1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3" fillId="3" borderId="4" xfId="0" applyNumberFormat="1" applyFont="1" applyFill="1" applyBorder="1" applyAlignment="1">
      <alignment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horizontal="center"/>
    </xf>
    <xf numFmtId="49" fontId="2" fillId="4" borderId="1" xfId="0" applyNumberFormat="1" applyFont="1" applyFill="1" applyBorder="1"/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3" fillId="3" borderId="13" xfId="0" applyNumberFormat="1" applyFont="1" applyFill="1" applyBorder="1" applyAlignment="1">
      <alignment horizontal="left" vertical="center" wrapText="1"/>
    </xf>
    <xf numFmtId="49" fontId="2" fillId="4" borderId="14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4" fontId="2" fillId="5" borderId="10" xfId="0" applyNumberFormat="1" applyFont="1" applyFill="1" applyBorder="1" applyAlignment="1">
      <alignment horizontal="center"/>
    </xf>
    <xf numFmtId="49" fontId="2" fillId="0" borderId="14" xfId="0" applyNumberFormat="1" applyFont="1" applyBorder="1" applyAlignment="1" applyProtection="1">
      <alignment horizontal="left"/>
      <protection locked="0"/>
    </xf>
    <xf numFmtId="49" fontId="2" fillId="0" borderId="1" xfId="0" applyNumberFormat="1" applyFont="1" applyBorder="1" applyProtection="1"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49" fontId="2" fillId="0" borderId="5" xfId="0" applyNumberFormat="1" applyFont="1" applyBorder="1" applyProtection="1">
      <protection locked="0"/>
    </xf>
    <xf numFmtId="14" fontId="2" fillId="5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5" xfId="0" applyFont="1" applyBorder="1" applyAlignment="1" applyProtection="1">
      <alignment horizontal="center"/>
      <protection locked="0"/>
    </xf>
    <xf numFmtId="49" fontId="2" fillId="5" borderId="1" xfId="0" applyNumberFormat="1" applyFont="1" applyFill="1" applyBorder="1" applyAlignment="1">
      <alignment horizontal="left"/>
    </xf>
    <xf numFmtId="49" fontId="2" fillId="5" borderId="5" xfId="0" applyNumberFormat="1" applyFont="1" applyFill="1" applyBorder="1" applyAlignment="1">
      <alignment horizontal="left"/>
    </xf>
    <xf numFmtId="0" fontId="2" fillId="0" borderId="6" xfId="0" applyFont="1" applyBorder="1" applyAlignment="1" applyProtection="1">
      <alignment horizontal="center"/>
      <protection locked="0"/>
    </xf>
    <xf numFmtId="49" fontId="2" fillId="5" borderId="10" xfId="0" applyNumberFormat="1" applyFont="1" applyFill="1" applyBorder="1" applyAlignment="1">
      <alignment horizontal="left"/>
    </xf>
    <xf numFmtId="49" fontId="2" fillId="0" borderId="10" xfId="0" applyNumberFormat="1" applyFont="1" applyBorder="1" applyProtection="1">
      <protection locked="0"/>
    </xf>
    <xf numFmtId="0" fontId="0" fillId="0" borderId="19" xfId="0" applyBorder="1"/>
    <xf numFmtId="0" fontId="0" fillId="0" borderId="21" xfId="0" applyBorder="1"/>
    <xf numFmtId="0" fontId="0" fillId="0" borderId="23" xfId="0" applyBorder="1"/>
    <xf numFmtId="0" fontId="0" fillId="0" borderId="16" xfId="0" applyBorder="1"/>
    <xf numFmtId="0" fontId="0" fillId="0" borderId="17" xfId="0" applyBorder="1"/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 vertical="center" wrapText="1"/>
    </xf>
    <xf numFmtId="49" fontId="2" fillId="0" borderId="22" xfId="0" applyNumberFormat="1" applyFont="1" applyBorder="1" applyAlignment="1" applyProtection="1">
      <alignment horizontal="left"/>
      <protection locked="0"/>
    </xf>
    <xf numFmtId="14" fontId="2" fillId="0" borderId="10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0" fontId="10" fillId="0" borderId="0" xfId="0" applyFont="1"/>
    <xf numFmtId="0" fontId="10" fillId="0" borderId="0" xfId="0" applyFont="1" applyAlignment="1" applyProtection="1">
      <alignment horizontal="center"/>
      <protection locked="0"/>
    </xf>
    <xf numFmtId="164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quotePrefix="1" applyBorder="1"/>
    <xf numFmtId="49" fontId="3" fillId="3" borderId="3" xfId="0" applyNumberFormat="1" applyFont="1" applyFill="1" applyBorder="1" applyAlignment="1">
      <alignment horizontal="left" vertical="center" wrapText="1"/>
    </xf>
    <xf numFmtId="49" fontId="2" fillId="4" borderId="7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  <xf numFmtId="49" fontId="2" fillId="5" borderId="15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2" fillId="6" borderId="1" xfId="0" applyNumberFormat="1" applyFont="1" applyFill="1" applyBorder="1" applyProtection="1">
      <protection locked="0"/>
    </xf>
    <xf numFmtId="0" fontId="11" fillId="3" borderId="2" xfId="0" applyFont="1" applyFill="1" applyBorder="1"/>
    <xf numFmtId="0" fontId="11" fillId="3" borderId="2" xfId="0" applyFont="1" applyFill="1" applyBorder="1" applyAlignment="1">
      <alignment wrapText="1"/>
    </xf>
    <xf numFmtId="0" fontId="11" fillId="3" borderId="2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9" fontId="2" fillId="0" borderId="0" xfId="0" applyNumberFormat="1" applyFont="1" applyAlignment="1" applyProtection="1">
      <alignment horizontal="center"/>
      <protection locked="0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2" fontId="2" fillId="0" borderId="0" xfId="0" applyNumberFormat="1" applyFont="1" applyAlignment="1" applyProtection="1">
      <alignment horizontal="center"/>
      <protection locked="0"/>
    </xf>
    <xf numFmtId="0" fontId="8" fillId="0" borderId="17" xfId="0" applyFont="1" applyBorder="1"/>
    <xf numFmtId="0" fontId="7" fillId="0" borderId="17" xfId="0" applyFont="1" applyBorder="1"/>
    <xf numFmtId="0" fontId="7" fillId="0" borderId="18" xfId="0" applyFont="1" applyBorder="1"/>
    <xf numFmtId="0" fontId="8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3" fillId="0" borderId="23" xfId="0" applyFont="1" applyBorder="1"/>
    <xf numFmtId="2" fontId="2" fillId="0" borderId="29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2" fontId="2" fillId="0" borderId="30" xfId="0" applyNumberFormat="1" applyFont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7" borderId="0" xfId="0" applyFill="1"/>
    <xf numFmtId="0" fontId="14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11" fillId="3" borderId="33" xfId="0" applyFont="1" applyFill="1" applyBorder="1"/>
    <xf numFmtId="0" fontId="3" fillId="3" borderId="3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/>
    </xf>
    <xf numFmtId="0" fontId="2" fillId="0" borderId="25" xfId="0" applyFont="1" applyBorder="1" applyAlignment="1" applyProtection="1">
      <alignment horizontal="center"/>
      <protection locked="0"/>
    </xf>
    <xf numFmtId="0" fontId="2" fillId="5" borderId="34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0" fillId="8" borderId="0" xfId="0" applyFill="1"/>
    <xf numFmtId="0" fontId="0" fillId="8" borderId="20" xfId="0" applyFill="1" applyBorder="1"/>
    <xf numFmtId="0" fontId="0" fillId="8" borderId="23" xfId="0" applyFill="1" applyBorder="1"/>
    <xf numFmtId="0" fontId="0" fillId="8" borderId="24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0" fillId="8" borderId="19" xfId="0" applyFill="1" applyBorder="1"/>
    <xf numFmtId="164" fontId="0" fillId="8" borderId="21" xfId="0" applyNumberFormat="1" applyFill="1" applyBorder="1"/>
    <xf numFmtId="0" fontId="13" fillId="0" borderId="0" xfId="0" applyFont="1"/>
    <xf numFmtId="0" fontId="3" fillId="9" borderId="23" xfId="0" applyFont="1" applyFill="1" applyBorder="1" applyAlignment="1">
      <alignment horizontal="center" vertical="center" wrapText="1"/>
    </xf>
    <xf numFmtId="2" fontId="8" fillId="9" borderId="23" xfId="0" applyNumberFormat="1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vertical="center"/>
    </xf>
    <xf numFmtId="2" fontId="8" fillId="9" borderId="24" xfId="0" applyNumberFormat="1" applyFont="1" applyFill="1" applyBorder="1" applyAlignment="1">
      <alignment vertical="center"/>
    </xf>
    <xf numFmtId="2" fontId="2" fillId="0" borderId="1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8" fillId="0" borderId="20" xfId="0" applyNumberFormat="1" applyFont="1" applyBorder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2" fontId="8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vertical="center"/>
    </xf>
    <xf numFmtId="0" fontId="3" fillId="0" borderId="0" xfId="0" applyFont="1" applyAlignment="1">
      <alignment horizontal="right" vertical="center" wrapText="1"/>
    </xf>
    <xf numFmtId="0" fontId="5" fillId="0" borderId="0" xfId="0" applyFont="1"/>
    <xf numFmtId="2" fontId="5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" fillId="9" borderId="5" xfId="0" applyNumberFormat="1" applyFont="1" applyFill="1" applyBorder="1" applyAlignment="1" applyProtection="1">
      <alignment horizontal="left"/>
      <protection locked="0"/>
    </xf>
    <xf numFmtId="49" fontId="2" fillId="9" borderId="1" xfId="0" applyNumberFormat="1" applyFont="1" applyFill="1" applyBorder="1" applyAlignment="1" applyProtection="1">
      <alignment horizontal="left"/>
      <protection locked="0"/>
    </xf>
    <xf numFmtId="49" fontId="2" fillId="9" borderId="10" xfId="0" applyNumberFormat="1" applyFont="1" applyFill="1" applyBorder="1" applyAlignment="1" applyProtection="1">
      <alignment horizontal="left"/>
      <protection locked="0"/>
    </xf>
    <xf numFmtId="0" fontId="2" fillId="7" borderId="0" xfId="0" applyFont="1" applyFill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2" fontId="2" fillId="11" borderId="1" xfId="0" applyNumberFormat="1" applyFont="1" applyFill="1" applyBorder="1" applyAlignment="1" applyProtection="1">
      <alignment horizontal="center"/>
      <protection locked="0"/>
    </xf>
    <xf numFmtId="2" fontId="2" fillId="12" borderId="1" xfId="0" applyNumberFormat="1" applyFont="1" applyFill="1" applyBorder="1" applyAlignment="1" applyProtection="1">
      <alignment horizontal="center"/>
      <protection locked="0"/>
    </xf>
    <xf numFmtId="0" fontId="2" fillId="11" borderId="1" xfId="0" applyFont="1" applyFill="1" applyBorder="1" applyAlignment="1" applyProtection="1">
      <alignment horizontal="center"/>
      <protection locked="0"/>
    </xf>
    <xf numFmtId="0" fontId="2" fillId="12" borderId="1" xfId="0" applyFont="1" applyFill="1" applyBorder="1" applyAlignment="1" applyProtection="1">
      <alignment horizontal="center"/>
      <protection locked="0"/>
    </xf>
    <xf numFmtId="2" fontId="2" fillId="11" borderId="1" xfId="0" applyNumberFormat="1" applyFont="1" applyFill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49" fontId="2" fillId="11" borderId="1" xfId="0" applyNumberFormat="1" applyFont="1" applyFill="1" applyBorder="1" applyAlignment="1">
      <alignment horizontal="left"/>
    </xf>
    <xf numFmtId="14" fontId="2" fillId="11" borderId="1" xfId="0" applyNumberFormat="1" applyFont="1" applyFill="1" applyBorder="1" applyAlignment="1" applyProtection="1">
      <alignment horizontal="center"/>
      <protection locked="0"/>
    </xf>
    <xf numFmtId="0" fontId="2" fillId="11" borderId="1" xfId="0" applyFont="1" applyFill="1" applyBorder="1"/>
    <xf numFmtId="165" fontId="2" fillId="16" borderId="1" xfId="0" applyNumberFormat="1" applyFont="1" applyFill="1" applyBorder="1" applyAlignment="1">
      <alignment horizontal="center"/>
    </xf>
    <xf numFmtId="49" fontId="2" fillId="16" borderId="1" xfId="0" applyNumberFormat="1" applyFont="1" applyFill="1" applyBorder="1" applyAlignment="1">
      <alignment horizontal="left"/>
    </xf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/>
    <xf numFmtId="49" fontId="2" fillId="16" borderId="1" xfId="0" applyNumberFormat="1" applyFont="1" applyFill="1" applyBorder="1" applyAlignment="1" applyProtection="1">
      <alignment horizontal="left"/>
      <protection locked="0"/>
    </xf>
    <xf numFmtId="49" fontId="2" fillId="16" borderId="1" xfId="0" applyNumberFormat="1" applyFont="1" applyFill="1" applyBorder="1" applyProtection="1">
      <protection locked="0"/>
    </xf>
    <xf numFmtId="14" fontId="2" fillId="16" borderId="1" xfId="0" applyNumberFormat="1" applyFont="1" applyFill="1" applyBorder="1" applyAlignment="1" applyProtection="1">
      <alignment horizontal="center"/>
      <protection locked="0"/>
    </xf>
    <xf numFmtId="49" fontId="2" fillId="16" borderId="14" xfId="0" applyNumberFormat="1" applyFont="1" applyFill="1" applyBorder="1" applyAlignment="1" applyProtection="1">
      <alignment horizontal="left"/>
      <protection locked="0"/>
    </xf>
    <xf numFmtId="2" fontId="2" fillId="16" borderId="1" xfId="0" applyNumberFormat="1" applyFont="1" applyFill="1" applyBorder="1" applyAlignment="1">
      <alignment horizontal="center"/>
    </xf>
    <xf numFmtId="2" fontId="2" fillId="16" borderId="1" xfId="0" applyNumberFormat="1" applyFont="1" applyFill="1" applyBorder="1" applyAlignment="1" applyProtection="1">
      <alignment horizontal="center"/>
      <protection locked="0"/>
    </xf>
    <xf numFmtId="0" fontId="2" fillId="16" borderId="1" xfId="0" applyFont="1" applyFill="1" applyBorder="1" applyAlignment="1" applyProtection="1">
      <alignment horizontal="center"/>
      <protection locked="0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 applyProtection="1">
      <alignment horizontal="center" vertical="center" wrapText="1"/>
      <protection locked="0"/>
    </xf>
    <xf numFmtId="49" fontId="7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13" borderId="1" xfId="0" applyFont="1" applyFill="1" applyBorder="1" applyAlignment="1">
      <alignment horizontal="center" vertical="center"/>
    </xf>
    <xf numFmtId="0" fontId="18" fillId="13" borderId="0" xfId="0" applyFont="1" applyFill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21" fillId="20" borderId="0" xfId="2" applyFont="1" applyFill="1"/>
    <xf numFmtId="0" fontId="22" fillId="0" borderId="0" xfId="0" applyFont="1"/>
    <xf numFmtId="0" fontId="21" fillId="17" borderId="0" xfId="2" applyFont="1" applyFill="1"/>
    <xf numFmtId="0" fontId="21" fillId="15" borderId="0" xfId="2" applyFont="1" applyFill="1"/>
    <xf numFmtId="0" fontId="21" fillId="14" borderId="0" xfId="2" applyFont="1" applyFill="1"/>
    <xf numFmtId="0" fontId="21" fillId="10" borderId="0" xfId="2" applyFont="1" applyFill="1"/>
    <xf numFmtId="0" fontId="21" fillId="18" borderId="0" xfId="2" applyFont="1" applyFill="1"/>
    <xf numFmtId="0" fontId="21" fillId="19" borderId="0" xfId="2" applyFont="1" applyFill="1"/>
    <xf numFmtId="0" fontId="20" fillId="20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49" fontId="20" fillId="10" borderId="0" xfId="0" applyNumberFormat="1" applyFont="1" applyFill="1" applyAlignment="1">
      <alignment horizontal="center" vertical="center"/>
    </xf>
    <xf numFmtId="14" fontId="23" fillId="10" borderId="0" xfId="0" applyNumberFormat="1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right" vertical="center"/>
    </xf>
    <xf numFmtId="0" fontId="20" fillId="14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3" borderId="2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269"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66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alignment horizontal="left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bold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66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alignment horizontal="left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65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65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numFmt numFmtId="30" formatCode="@"/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rgb="FF000000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65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65" formatCode="[$-F800]dddd\,\ mmmm\ dd\,\ 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numFmt numFmtId="19" formatCode="dd/mm/yyyy"/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numFmt numFmtId="30" formatCode="@"/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166" formatCode="m/d/yyyy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numFmt numFmtId="19" formatCode="dd/mm/yyyy"/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numFmt numFmtId="30" formatCode="@"/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 Semibold"/>
        <family val="2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numFmt numFmtId="30" formatCode="@"/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  <protection locked="0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bold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Yu Gothic UI Semibold"/>
        <family val="2"/>
        <scheme val="none"/>
      </font>
      <fill>
        <patternFill patternType="solid">
          <fgColor indexed="64"/>
          <bgColor rgb="FF00557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</dxfs>
  <tableStyles count="0" defaultTableStyle="TableStyleMedium2" defaultPivotStyle="PivotStyleLight16"/>
  <colors>
    <mruColors>
      <color rgb="FFFF99CC"/>
      <color rgb="FFCCCCFF"/>
      <color rgb="FFCC66FF"/>
      <color rgb="FF00FF99"/>
      <color rgb="FF00CCFF"/>
      <color rgb="FF009999"/>
      <color rgb="FF005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i="1" u="sng"/>
              <a:t>BCDVA</a:t>
            </a:r>
          </a:p>
        </c:rich>
      </c:tx>
      <c:layout>
        <c:manualLayout>
          <c:xMode val="edge"/>
          <c:yMode val="edge"/>
          <c:x val="0.431049139690872"/>
          <c:y val="3.6668905112840648E-2"/>
        </c:manualLayout>
      </c:layout>
      <c:overlay val="0"/>
      <c:spPr>
        <a:noFill/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8469535968199"/>
          <c:y val="0.22755165141833289"/>
          <c:w val="0.8179259995413195"/>
          <c:h val="0.4618676337959005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Results'!$C$12</c:f>
              <c:strCache>
                <c:ptCount val="1"/>
                <c:pt idx="0">
                  <c:v>R %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Results'!$A$13:$A$20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Results'!$C$13:$C$20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2-4E29-815A-28D8429832C2}"/>
            </c:ext>
          </c:extLst>
        </c:ser>
        <c:ser>
          <c:idx val="3"/>
          <c:order val="1"/>
          <c:tx>
            <c:strRef>
              <c:f>'Envy Experience - Results'!$E$12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Results'!$A$13:$A$20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Results'!$E$13:$E$20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F2-4E29-815A-28D842983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latin typeface="Yu Gothic UI Semibold" panose="020B0700000000000000" pitchFamily="34" charset="-128"/>
          <a:ea typeface="Yu Gothic UI Semibold" panose="020B0700000000000000" pitchFamily="34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UCDVA</a:t>
            </a:r>
          </a:p>
        </c:rich>
      </c:tx>
      <c:layout>
        <c:manualLayout>
          <c:xMode val="edge"/>
          <c:yMode val="edge"/>
          <c:x val="0.43381615229130849"/>
          <c:y val="2.45775241397577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0324011222735"/>
          <c:y val="0.17339506172839508"/>
          <c:w val="0.82945497330075135"/>
          <c:h val="0.5079327987227403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Results'!$C$23</c:f>
              <c:strCache>
                <c:ptCount val="1"/>
                <c:pt idx="0">
                  <c:v>R %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Results'!$A$24:$A$31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Results'!$C$24:$C$31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29-4425-BF74-EB16A3E0F45B}"/>
            </c:ext>
          </c:extLst>
        </c:ser>
        <c:ser>
          <c:idx val="3"/>
          <c:order val="1"/>
          <c:tx>
            <c:strRef>
              <c:f>'Envy Experience - Results'!$E$23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Results'!$A$24:$A$31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Results'!$E$24:$E$31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29-4425-BF74-EB16A3E0F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Yu Gothic UI Semibold" panose="020B0700000000000000" pitchFamily="34" charset="-128"/>
          <a:ea typeface="Yu Gothic UI Semibold" panose="020B0700000000000000" pitchFamily="34" charset="-128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UCIVA</a:t>
            </a:r>
          </a:p>
        </c:rich>
      </c:tx>
      <c:layout>
        <c:manualLayout>
          <c:xMode val="edge"/>
          <c:yMode val="edge"/>
          <c:x val="0.43413555944395837"/>
          <c:y val="3.6613298699651312E-2"/>
        </c:manualLayout>
      </c:layout>
      <c:overlay val="0"/>
      <c:spPr>
        <a:noFill/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77958095093767"/>
          <c:y val="0.2275516081249882"/>
          <c:w val="0.8179259995413195"/>
          <c:h val="0.4618676337959005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Results'!$C$34</c:f>
              <c:strCache>
                <c:ptCount val="1"/>
                <c:pt idx="0">
                  <c:v>R %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Results'!$A$35:$A$42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Results'!$C$35:$C$42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5-44EE-A5FC-751CE0C62E28}"/>
            </c:ext>
          </c:extLst>
        </c:ser>
        <c:ser>
          <c:idx val="3"/>
          <c:order val="1"/>
          <c:tx>
            <c:strRef>
              <c:f>'Envy Experience - Results'!$E$34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Results'!$A$35:$A$42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Results'!$E$35:$E$42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85-44EE-A5FC-751CE0C62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latin typeface="Yu Gothic UI Semibold" panose="020B0700000000000000" pitchFamily="34" charset="-128"/>
          <a:ea typeface="Yu Gothic UI Semibold" panose="020B0700000000000000" pitchFamily="34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UCNVA</a:t>
            </a:r>
          </a:p>
        </c:rich>
      </c:tx>
      <c:layout>
        <c:manualLayout>
          <c:xMode val="edge"/>
          <c:yMode val="edge"/>
          <c:x val="0.44339481870321767"/>
          <c:y val="3.0511082249709425E-2"/>
        </c:manualLayout>
      </c:layout>
      <c:overlay val="0"/>
      <c:spPr>
        <a:noFill/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8469535968199"/>
          <c:y val="0.22755165141833289"/>
          <c:w val="0.8179259995413195"/>
          <c:h val="0.4618676337959005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Results'!$C$45</c:f>
              <c:strCache>
                <c:ptCount val="1"/>
                <c:pt idx="0">
                  <c:v>R %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Results'!$F$46:$F$53</c:f>
              <c:strCache>
                <c:ptCount val="8"/>
                <c:pt idx="0">
                  <c:v>J1+</c:v>
                </c:pt>
                <c:pt idx="1">
                  <c:v>J1</c:v>
                </c:pt>
                <c:pt idx="2">
                  <c:v>J2</c:v>
                </c:pt>
                <c:pt idx="3">
                  <c:v>J3</c:v>
                </c:pt>
                <c:pt idx="4">
                  <c:v>J5</c:v>
                </c:pt>
                <c:pt idx="5">
                  <c:v>J6</c:v>
                </c:pt>
                <c:pt idx="6">
                  <c:v>J8</c:v>
                </c:pt>
                <c:pt idx="7">
                  <c:v>J10</c:v>
                </c:pt>
              </c:strCache>
            </c:strRef>
          </c:cat>
          <c:val>
            <c:numRef>
              <c:f>'Envy Experience - Results'!$C$46:$C$53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1-45C9-8732-14434CF73D1D}"/>
            </c:ext>
          </c:extLst>
        </c:ser>
        <c:ser>
          <c:idx val="3"/>
          <c:order val="1"/>
          <c:tx>
            <c:strRef>
              <c:f>'Envy Experience - Results'!$E$45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Results'!$F$46:$F$53</c:f>
              <c:strCache>
                <c:ptCount val="8"/>
                <c:pt idx="0">
                  <c:v>J1+</c:v>
                </c:pt>
                <c:pt idx="1">
                  <c:v>J1</c:v>
                </c:pt>
                <c:pt idx="2">
                  <c:v>J2</c:v>
                </c:pt>
                <c:pt idx="3">
                  <c:v>J3</c:v>
                </c:pt>
                <c:pt idx="4">
                  <c:v>J5</c:v>
                </c:pt>
                <c:pt idx="5">
                  <c:v>J6</c:v>
                </c:pt>
                <c:pt idx="6">
                  <c:v>J8</c:v>
                </c:pt>
                <c:pt idx="7">
                  <c:v>J10</c:v>
                </c:pt>
              </c:strCache>
            </c:strRef>
          </c:cat>
          <c:val>
            <c:numRef>
              <c:f>'Envy Experience - Results'!$E$46:$E$53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31-45C9-8732-14434CF73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latin typeface="Yu Gothic UI Semibold" panose="020B0700000000000000" pitchFamily="34" charset="-128"/>
          <a:ea typeface="Yu Gothic UI Semibold" panose="020B0700000000000000" pitchFamily="34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Envy/Envy Toric OU Results -  (BCDVA, UCDVA, UCIVA)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80" b="0" i="1" u="sng" strike="noStrike" kern="1200" spc="0" baseline="0">
              <a:solidFill>
                <a:srgbClr val="44546A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'Envy Experience - Results'!$B$57</c:f>
              <c:strCache>
                <c:ptCount val="1"/>
                <c:pt idx="0">
                  <c:v>BCDVA</c:v>
                </c:pt>
              </c:strCache>
            </c:strRef>
          </c:tx>
          <c:spPr>
            <a:solidFill>
              <a:srgbClr val="00557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'Envy Experience - Results'!$A$58:$A$65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Results'!$B$58:$B$65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D-407E-8A52-7DA009719362}"/>
            </c:ext>
          </c:extLst>
        </c:ser>
        <c:ser>
          <c:idx val="1"/>
          <c:order val="1"/>
          <c:tx>
            <c:strRef>
              <c:f>'Envy Experience - Results'!$C$57</c:f>
              <c:strCache>
                <c:ptCount val="1"/>
                <c:pt idx="0">
                  <c:v>UCDVA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'Envy Experience - Results'!$A$58:$A$65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Results'!$C$58:$C$65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D-407E-8A52-7DA009719362}"/>
            </c:ext>
          </c:extLst>
        </c:ser>
        <c:ser>
          <c:idx val="2"/>
          <c:order val="2"/>
          <c:tx>
            <c:strRef>
              <c:f>'Envy Experience - Results'!$D$57</c:f>
              <c:strCache>
                <c:ptCount val="1"/>
                <c:pt idx="0">
                  <c:v>UCIVA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'Envy Experience - Results'!$A$58:$A$65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Results'!$D$58:$D$65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9D-407E-8A52-7DA009719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855832"/>
        <c:axId val="784852880"/>
      </c:barChart>
      <c:catAx>
        <c:axId val="78485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2880"/>
        <c:crosses val="autoZero"/>
        <c:auto val="1"/>
        <c:lblAlgn val="ctr"/>
        <c:lblOffset val="100"/>
        <c:noMultiLvlLbl val="0"/>
      </c:catAx>
      <c:valAx>
        <c:axId val="7848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innerShdw blurRad="114300">
        <a:prstClr val="black"/>
      </a:innerShdw>
    </a:effectLst>
    <a:scene3d>
      <a:camera prst="orthographicFront"/>
      <a:lightRig rig="soft" dir="t">
        <a:rot lat="0" lon="0" rev="0"/>
      </a:lightRig>
    </a:scene3d>
    <a:sp3d prstMaterial="matte">
      <a:contourClr>
        <a:srgbClr val="000000"/>
      </a:contourClr>
    </a:sp3d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Yu Gothic UI Semibold" panose="020B0700000000000000" pitchFamily="34" charset="-128"/>
          <a:ea typeface="Yu Gothic UI Semibold" panose="020B0700000000000000" pitchFamily="34" charset="-128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080" b="0" i="1" u="sng" strike="noStrike" baseline="0">
                <a:effectLst/>
              </a:rPr>
              <a:t>Envy/Envy Toric </a:t>
            </a:r>
            <a:r>
              <a: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OU Results - (UCNVA)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80" b="0" i="1" u="sng" strike="noStrike" kern="1200" spc="0" baseline="0">
              <a:solidFill>
                <a:srgbClr val="44546A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Results'!$E$57</c:f>
              <c:strCache>
                <c:ptCount val="1"/>
                <c:pt idx="0">
                  <c:v>UCNVA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'Envy Experience - Results'!$F$58:$F$65</c:f>
              <c:strCache>
                <c:ptCount val="8"/>
                <c:pt idx="0">
                  <c:v>J1+</c:v>
                </c:pt>
                <c:pt idx="1">
                  <c:v>J1</c:v>
                </c:pt>
                <c:pt idx="2">
                  <c:v>J2</c:v>
                </c:pt>
                <c:pt idx="3">
                  <c:v>J3</c:v>
                </c:pt>
                <c:pt idx="4">
                  <c:v>J5</c:v>
                </c:pt>
                <c:pt idx="5">
                  <c:v>J6</c:v>
                </c:pt>
                <c:pt idx="6">
                  <c:v>J8</c:v>
                </c:pt>
                <c:pt idx="7">
                  <c:v>J10</c:v>
                </c:pt>
              </c:strCache>
            </c:strRef>
          </c:cat>
          <c:val>
            <c:numRef>
              <c:f>'Envy Experience - Results'!$E$58:$E$65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0-4CFE-938B-50A192EC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855832"/>
        <c:axId val="784852880"/>
      </c:barChart>
      <c:catAx>
        <c:axId val="78485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2880"/>
        <c:crosses val="autoZero"/>
        <c:auto val="1"/>
        <c:lblAlgn val="ctr"/>
        <c:lblOffset val="100"/>
        <c:noMultiLvlLbl val="0"/>
      </c:catAx>
      <c:valAx>
        <c:axId val="7848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Yu Gothic UI Semibold" panose="020B0700000000000000" pitchFamily="34" charset="-128"/>
          <a:ea typeface="Yu Gothic UI Semibold" panose="020B0700000000000000" pitchFamily="34" charset="-128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i="1" u="sng"/>
              <a:t>BCDVA - Envy / Envy Toric</a:t>
            </a:r>
          </a:p>
        </c:rich>
      </c:tx>
      <c:layout>
        <c:manualLayout>
          <c:xMode val="edge"/>
          <c:yMode val="edge"/>
          <c:x val="0.35210180964221582"/>
          <c:y val="3.666885389326334E-2"/>
        </c:manualLayout>
      </c:layout>
      <c:overlay val="0"/>
      <c:spPr>
        <a:noFill/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8469535968199"/>
          <c:y val="0.22755165141833289"/>
          <c:w val="0.8179259995413195"/>
          <c:h val="0.4618676337959005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Results'!$C$71</c:f>
              <c:strCache>
                <c:ptCount val="1"/>
                <c:pt idx="0">
                  <c:v>R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Results'!$A$72:$A$79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Results'!$C$72:$C$79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4-47E7-BDA3-0C293A1779CD}"/>
            </c:ext>
          </c:extLst>
        </c:ser>
        <c:ser>
          <c:idx val="3"/>
          <c:order val="1"/>
          <c:tx>
            <c:strRef>
              <c:f>'Envy Experience - Results'!$E$71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Results'!$A$72:$A$79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Results'!$E$72:$E$79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4-47E7-BDA3-0C293A177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latin typeface="Yu Gothic UI Semibold" panose="020B0700000000000000" pitchFamily="34" charset="-128"/>
          <a:ea typeface="Yu Gothic UI Semibold" panose="020B0700000000000000" pitchFamily="34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UCDVA - </a:t>
            </a:r>
            <a:r>
              <a:rPr lang="en-US" sz="1200" b="1" i="1" u="sng" strike="noStrike" baseline="0">
                <a:effectLst/>
              </a:rPr>
              <a:t>Envy / Envy Toric</a:t>
            </a:r>
            <a:endPara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endParaRPr>
          </a:p>
        </c:rich>
      </c:tx>
      <c:layout>
        <c:manualLayout>
          <c:xMode val="edge"/>
          <c:yMode val="edge"/>
          <c:x val="0.32539124917077672"/>
          <c:y val="2.4577294685990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0324011222735"/>
          <c:y val="0.17339506172839508"/>
          <c:w val="0.82945497330075135"/>
          <c:h val="0.5079327987227403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Results'!$C$83</c:f>
              <c:strCache>
                <c:ptCount val="1"/>
                <c:pt idx="0">
                  <c:v>R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Results'!$A$84:$A$91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Results'!$C$84:$C$91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7-4D32-BC5C-48CF9F515F49}"/>
            </c:ext>
          </c:extLst>
        </c:ser>
        <c:ser>
          <c:idx val="3"/>
          <c:order val="1"/>
          <c:tx>
            <c:strRef>
              <c:f>'Envy Experience - Results'!$E$83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Results'!$A$84:$A$91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Results'!$E$84:$E$91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7-4D32-BC5C-48CF9F51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Yu Gothic UI Semibold" panose="020B0700000000000000" pitchFamily="34" charset="-128"/>
          <a:ea typeface="Yu Gothic UI Semibold" panose="020B0700000000000000" pitchFamily="34" charset="-128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UCIVA - </a:t>
            </a:r>
            <a:r>
              <a:rPr lang="en-US" sz="1200" b="1" i="1" u="sng" strike="noStrike" baseline="0">
                <a:effectLst/>
              </a:rPr>
              <a:t>Envy / Envy Toric</a:t>
            </a:r>
            <a:endPara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endParaRPr>
          </a:p>
        </c:rich>
      </c:tx>
      <c:layout>
        <c:manualLayout>
          <c:xMode val="edge"/>
          <c:yMode val="edge"/>
          <c:x val="0.32887231201362987"/>
          <c:y val="2.4535927574270606E-2"/>
        </c:manualLayout>
      </c:layout>
      <c:overlay val="0"/>
      <c:spPr>
        <a:noFill/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8469535968199"/>
          <c:y val="0.22755165141833289"/>
          <c:w val="0.8179259995413195"/>
          <c:h val="0.4618676337959005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Results'!$C$95</c:f>
              <c:strCache>
                <c:ptCount val="1"/>
                <c:pt idx="0">
                  <c:v>R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Results'!$A$96:$A$103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Results'!$C$96:$C$103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8-4B13-935C-01524D766F98}"/>
            </c:ext>
          </c:extLst>
        </c:ser>
        <c:ser>
          <c:idx val="3"/>
          <c:order val="1"/>
          <c:tx>
            <c:strRef>
              <c:f>'Envy Experience - Results'!$E$95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Results'!$A$96:$A$103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Results'!$E$96:$E$103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8-4B13-935C-01524D76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latin typeface="Yu Gothic UI Semibold" panose="020B0700000000000000" pitchFamily="34" charset="-128"/>
          <a:ea typeface="Yu Gothic UI Semibold" panose="020B0700000000000000" pitchFamily="34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200" b="1" i="1" u="sng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UCNVA - </a:t>
            </a:r>
            <a:r>
              <a:rPr lang="en-US" sz="1200" b="1" i="1" u="sng" strike="noStrike" baseline="0">
                <a:effectLst/>
              </a:rPr>
              <a:t>Envy / Envy Toric</a:t>
            </a:r>
            <a:endPara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endParaRPr>
          </a:p>
        </c:rich>
      </c:tx>
      <c:layout>
        <c:manualLayout>
          <c:xMode val="edge"/>
          <c:yMode val="edge"/>
          <c:x val="0.36427400421101208"/>
          <c:y val="3.0510860055536538E-2"/>
        </c:manualLayout>
      </c:layout>
      <c:overlay val="0"/>
      <c:spPr>
        <a:noFill/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1" u="sng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8469535968199"/>
          <c:y val="0.22755165141833289"/>
          <c:w val="0.8179259995413195"/>
          <c:h val="0.4618676337959005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Results'!$C$107</c:f>
              <c:strCache>
                <c:ptCount val="1"/>
                <c:pt idx="0">
                  <c:v>R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Results'!$F$108:$F$115</c:f>
              <c:strCache>
                <c:ptCount val="8"/>
                <c:pt idx="0">
                  <c:v>J1+</c:v>
                </c:pt>
                <c:pt idx="1">
                  <c:v>J1</c:v>
                </c:pt>
                <c:pt idx="2">
                  <c:v>J2</c:v>
                </c:pt>
                <c:pt idx="3">
                  <c:v>J3</c:v>
                </c:pt>
                <c:pt idx="4">
                  <c:v>J5</c:v>
                </c:pt>
                <c:pt idx="5">
                  <c:v>J6</c:v>
                </c:pt>
                <c:pt idx="6">
                  <c:v>J8</c:v>
                </c:pt>
                <c:pt idx="7">
                  <c:v>J10</c:v>
                </c:pt>
              </c:strCache>
            </c:strRef>
          </c:cat>
          <c:val>
            <c:numRef>
              <c:f>'Envy Experience - Results'!$C$108:$C$115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9-4033-A17F-361065F38775}"/>
            </c:ext>
          </c:extLst>
        </c:ser>
        <c:ser>
          <c:idx val="3"/>
          <c:order val="1"/>
          <c:tx>
            <c:strRef>
              <c:f>'Envy Experience - Results'!$E$107</c:f>
              <c:strCache>
                <c:ptCount val="1"/>
                <c:pt idx="0">
                  <c:v>L%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'Envy Experience - Results'!$F$108:$F$115</c:f>
              <c:strCache>
                <c:ptCount val="8"/>
                <c:pt idx="0">
                  <c:v>J1+</c:v>
                </c:pt>
                <c:pt idx="1">
                  <c:v>J1</c:v>
                </c:pt>
                <c:pt idx="2">
                  <c:v>J2</c:v>
                </c:pt>
                <c:pt idx="3">
                  <c:v>J3</c:v>
                </c:pt>
                <c:pt idx="4">
                  <c:v>J5</c:v>
                </c:pt>
                <c:pt idx="5">
                  <c:v>J6</c:v>
                </c:pt>
                <c:pt idx="6">
                  <c:v>J8</c:v>
                </c:pt>
                <c:pt idx="7">
                  <c:v>J10</c:v>
                </c:pt>
              </c:strCache>
            </c:strRef>
          </c:cat>
          <c:val>
            <c:numRef>
              <c:f>'Envy Experience - Results'!$E$108:$E$115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9-4033-A17F-361065F38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358856"/>
        <c:axId val="866090376"/>
      </c:barChart>
      <c:catAx>
        <c:axId val="982358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866090376"/>
        <c:crosses val="autoZero"/>
        <c:auto val="1"/>
        <c:lblAlgn val="ctr"/>
        <c:lblOffset val="100"/>
        <c:noMultiLvlLbl val="0"/>
      </c:catAx>
      <c:valAx>
        <c:axId val="866090376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982358856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latin typeface="Yu Gothic UI Semibold" panose="020B0700000000000000" pitchFamily="34" charset="-128"/>
          <a:ea typeface="Yu Gothic UI Semibold" panose="020B0700000000000000" pitchFamily="34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Competitor OU Results -  (BCDVA, UCDVA, UCIVA)</a:t>
            </a:r>
          </a:p>
        </c:rich>
      </c:tx>
      <c:layout>
        <c:manualLayout>
          <c:xMode val="edge"/>
          <c:yMode val="edge"/>
          <c:x val="0.16595755603899146"/>
          <c:y val="4.276548877971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80" b="0" i="1" u="sng" strike="noStrike" kern="1200" spc="0" baseline="0">
              <a:solidFill>
                <a:srgbClr val="44546A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'Envy Experience - Results'!$B$119</c:f>
              <c:strCache>
                <c:ptCount val="1"/>
                <c:pt idx="0">
                  <c:v>BCDVA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'Envy Experience - Results'!$A$120:$A$127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Results'!$B$120:$B$127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D-4052-A3C3-7B1973EB3161}"/>
            </c:ext>
          </c:extLst>
        </c:ser>
        <c:ser>
          <c:idx val="1"/>
          <c:order val="1"/>
          <c:tx>
            <c:strRef>
              <c:f>'Envy Experience - Results'!$C$119</c:f>
              <c:strCache>
                <c:ptCount val="1"/>
                <c:pt idx="0">
                  <c:v>UCDVA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'Envy Experience - Results'!$A$120:$A$127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Results'!$C$120:$C$127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D-4052-A3C3-7B1973EB3161}"/>
            </c:ext>
          </c:extLst>
        </c:ser>
        <c:ser>
          <c:idx val="2"/>
          <c:order val="2"/>
          <c:tx>
            <c:strRef>
              <c:f>'Envy Experience - Results'!$D$119</c:f>
              <c:strCache>
                <c:ptCount val="1"/>
                <c:pt idx="0">
                  <c:v>UCIVA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'Envy Experience - Results'!$A$120:$A$127</c:f>
              <c:strCache>
                <c:ptCount val="8"/>
                <c:pt idx="0">
                  <c:v>20/15</c:v>
                </c:pt>
                <c:pt idx="1">
                  <c:v>20/20</c:v>
                </c:pt>
                <c:pt idx="2">
                  <c:v>20/25</c:v>
                </c:pt>
                <c:pt idx="3">
                  <c:v>20/30</c:v>
                </c:pt>
                <c:pt idx="4">
                  <c:v>20/40</c:v>
                </c:pt>
                <c:pt idx="5">
                  <c:v>20/50</c:v>
                </c:pt>
                <c:pt idx="6">
                  <c:v>20/60</c:v>
                </c:pt>
                <c:pt idx="7">
                  <c:v>20/70</c:v>
                </c:pt>
              </c:strCache>
            </c:strRef>
          </c:cat>
          <c:val>
            <c:numRef>
              <c:f>'Envy Experience - Results'!$D$120:$D$127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D-4052-A3C3-7B1973EB3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855832"/>
        <c:axId val="784852880"/>
      </c:barChart>
      <c:catAx>
        <c:axId val="78485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2880"/>
        <c:crosses val="autoZero"/>
        <c:auto val="1"/>
        <c:lblAlgn val="ctr"/>
        <c:lblOffset val="100"/>
        <c:noMultiLvlLbl val="0"/>
      </c:catAx>
      <c:valAx>
        <c:axId val="7848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innerShdw blurRad="114300">
        <a:prstClr val="black"/>
      </a:innerShdw>
    </a:effectLst>
    <a:scene3d>
      <a:camera prst="orthographicFront"/>
      <a:lightRig rig="soft" dir="t">
        <a:rot lat="0" lon="0" rev="0"/>
      </a:lightRig>
    </a:scene3d>
    <a:sp3d prstMaterial="matte">
      <a:contourClr>
        <a:srgbClr val="000000"/>
      </a:contourClr>
    </a:sp3d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Yu Gothic UI Semibold" panose="020B0700000000000000" pitchFamily="34" charset="-128"/>
          <a:ea typeface="Yu Gothic UI Semibold" panose="020B0700000000000000" pitchFamily="34" charset="-128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080" b="0" i="1" u="sng" strike="noStrike" baseline="0">
                <a:effectLst/>
              </a:rPr>
              <a:t>Competitor </a:t>
            </a:r>
            <a:r>
              <a:rPr lang="en-US" sz="1080" b="0" i="1" u="sng" strike="noStrike" kern="1200" spc="0" baseline="0">
                <a:solidFill>
                  <a:srgbClr val="44546A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t>OU Results - (UCNVA)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80" b="0" i="1" u="sng" strike="noStrike" kern="1200" spc="0" baseline="0">
              <a:solidFill>
                <a:srgbClr val="44546A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'Envy Experience - Results'!$E$119</c:f>
              <c:strCache>
                <c:ptCount val="1"/>
                <c:pt idx="0">
                  <c:v>UCNVA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'Envy Experience - Results'!$F$58:$F$65</c:f>
              <c:strCache>
                <c:ptCount val="8"/>
                <c:pt idx="0">
                  <c:v>J1+</c:v>
                </c:pt>
                <c:pt idx="1">
                  <c:v>J1</c:v>
                </c:pt>
                <c:pt idx="2">
                  <c:v>J2</c:v>
                </c:pt>
                <c:pt idx="3">
                  <c:v>J3</c:v>
                </c:pt>
                <c:pt idx="4">
                  <c:v>J5</c:v>
                </c:pt>
                <c:pt idx="5">
                  <c:v>J6</c:v>
                </c:pt>
                <c:pt idx="6">
                  <c:v>J8</c:v>
                </c:pt>
                <c:pt idx="7">
                  <c:v>J10</c:v>
                </c:pt>
              </c:strCache>
            </c:strRef>
          </c:cat>
          <c:val>
            <c:numRef>
              <c:f>'Envy Experience - Results'!$E$120:$E$127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6-4390-84EB-701BC33F2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855832"/>
        <c:axId val="784852880"/>
      </c:barChart>
      <c:catAx>
        <c:axId val="78485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2880"/>
        <c:crosses val="autoZero"/>
        <c:auto val="1"/>
        <c:lblAlgn val="ctr"/>
        <c:lblOffset val="100"/>
        <c:noMultiLvlLbl val="0"/>
      </c:catAx>
      <c:valAx>
        <c:axId val="7848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endParaRPr lang="en-US"/>
          </a:p>
        </c:txPr>
        <c:crossAx val="78485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Yu Gothic UI Semibold" panose="020B0700000000000000" pitchFamily="34" charset="-128"/>
          <a:ea typeface="Yu Gothic UI Semibold" panose="020B0700000000000000" pitchFamily="34" charset="-128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228599</xdr:colOff>
      <xdr:row>1</xdr:row>
      <xdr:rowOff>1</xdr:rowOff>
    </xdr:from>
    <xdr:to>
      <xdr:col>19</xdr:col>
      <xdr:colOff>442576</xdr:colOff>
      <xdr:row>4</xdr:row>
      <xdr:rowOff>19051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3605FA1-C63F-4CA8-BF1C-7095FE11FE4D}"/>
            </a:ext>
          </a:extLst>
        </xdr:cNvPr>
        <xdr:cNvSpPr/>
      </xdr:nvSpPr>
      <xdr:spPr>
        <a:xfrm>
          <a:off x="228599" y="67349"/>
          <a:ext cx="9113598" cy="577081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 editAs="oneCell">
    <xdr:from>
      <xdr:col>16</xdr:col>
      <xdr:colOff>405071</xdr:colOff>
      <xdr:row>1</xdr:row>
      <xdr:rowOff>66773</xdr:rowOff>
    </xdr:from>
    <xdr:to>
      <xdr:col>18</xdr:col>
      <xdr:colOff>596035</xdr:colOff>
      <xdr:row>3</xdr:row>
      <xdr:rowOff>133448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FD2D95-2AC1-4647-A92F-95BBD1BE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1738" y="134121"/>
          <a:ext cx="1268539" cy="441903"/>
        </a:xfrm>
        <a:prstGeom prst="rect">
          <a:avLst/>
        </a:prstGeom>
      </xdr:spPr>
    </xdr:pic>
    <xdr:clientData/>
  </xdr:twoCellAnchor>
  <xdr:twoCellAnchor>
    <xdr:from>
      <xdr:col>20</xdr:col>
      <xdr:colOff>171917</xdr:colOff>
      <xdr:row>2</xdr:row>
      <xdr:rowOff>36804</xdr:rowOff>
    </xdr:from>
    <xdr:to>
      <xdr:col>24</xdr:col>
      <xdr:colOff>162590</xdr:colOff>
      <xdr:row>3</xdr:row>
      <xdr:rowOff>148886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F3A1DF4-2F96-4182-955C-959D7C64D6FB}"/>
            </a:ext>
          </a:extLst>
        </xdr:cNvPr>
        <xdr:cNvSpPr/>
      </xdr:nvSpPr>
      <xdr:spPr>
        <a:xfrm rot="8221895">
          <a:off x="9610326" y="296577"/>
          <a:ext cx="885446" cy="294885"/>
        </a:xfrm>
        <a:prstGeom prst="rightArrow">
          <a:avLst>
            <a:gd name="adj1" fmla="val 53474"/>
            <a:gd name="adj2" fmla="val 50000"/>
          </a:avLst>
        </a:prstGeom>
        <a:solidFill>
          <a:srgbClr val="00557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467783</xdr:colOff>
      <xdr:row>5</xdr:row>
      <xdr:rowOff>84665</xdr:rowOff>
    </xdr:from>
    <xdr:to>
      <xdr:col>14</xdr:col>
      <xdr:colOff>539749</xdr:colOff>
      <xdr:row>9</xdr:row>
      <xdr:rowOff>357716</xdr:rowOff>
    </xdr:to>
    <xdr:sp macro="" textlink="$A$8">
      <xdr:nvSpPr>
        <xdr:cNvPr id="2" name="Rectangle 1">
          <a:extLst>
            <a:ext uri="{FF2B5EF4-FFF2-40B4-BE49-F238E27FC236}">
              <a16:creationId xmlns:a16="http://schemas.microsoft.com/office/drawing/2014/main" id="{642E84B8-1AAC-4C87-9AA9-519EF2C3789B}"/>
            </a:ext>
          </a:extLst>
        </xdr:cNvPr>
        <xdr:cNvSpPr/>
      </xdr:nvSpPr>
      <xdr:spPr>
        <a:xfrm>
          <a:off x="7294033" y="931332"/>
          <a:ext cx="1299633" cy="1024467"/>
        </a:xfrm>
        <a:prstGeom prst="rect">
          <a:avLst/>
        </a:prstGeom>
        <a:solidFill>
          <a:sysClr val="window" lastClr="FFFFFF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53494CB-E288-48F0-A57C-49BD8C8B4C7F}" type="TxLink">
            <a:rPr lang="en-US" sz="1050" b="0" i="0" u="none" strike="noStrike">
              <a:solidFill>
                <a:sysClr val="windowText" lastClr="000000"/>
              </a:solidFill>
              <a:latin typeface="+mn-lt"/>
              <a:ea typeface="Yu Gothic Medium" panose="020B0500000000000000" pitchFamily="34" charset="-128"/>
              <a:cs typeface="Calibri"/>
            </a:rPr>
            <a:pPr algn="ctr"/>
            <a:t>Left Eye - 0 Experiences</a:t>
          </a:fld>
          <a:endParaRPr lang="en-US" sz="1050">
            <a:solidFill>
              <a:sysClr val="windowText" lastClr="000000"/>
            </a:solidFill>
            <a:latin typeface="+mn-lt"/>
            <a:ea typeface="Yu Gothic Medium" panose="020B0500000000000000" pitchFamily="34" charset="-128"/>
          </a:endParaRPr>
        </a:p>
      </xdr:txBody>
    </xdr:sp>
    <xdr:clientData/>
  </xdr:twoCellAnchor>
  <xdr:twoCellAnchor>
    <xdr:from>
      <xdr:col>9</xdr:col>
      <xdr:colOff>568325</xdr:colOff>
      <xdr:row>5</xdr:row>
      <xdr:rowOff>81138</xdr:rowOff>
    </xdr:from>
    <xdr:to>
      <xdr:col>11</xdr:col>
      <xdr:colOff>1111250</xdr:colOff>
      <xdr:row>9</xdr:row>
      <xdr:rowOff>403578</xdr:rowOff>
    </xdr:to>
    <xdr:sp macro="" textlink="$A$9">
      <xdr:nvSpPr>
        <xdr:cNvPr id="3" name="Rectangle 2">
          <a:extLst>
            <a:ext uri="{FF2B5EF4-FFF2-40B4-BE49-F238E27FC236}">
              <a16:creationId xmlns:a16="http://schemas.microsoft.com/office/drawing/2014/main" id="{5F5027E2-DDE8-4394-A951-EDBDC727190D}"/>
            </a:ext>
          </a:extLst>
        </xdr:cNvPr>
        <xdr:cNvSpPr/>
      </xdr:nvSpPr>
      <xdr:spPr>
        <a:xfrm>
          <a:off x="963436" y="920749"/>
          <a:ext cx="1311981" cy="1112662"/>
        </a:xfrm>
        <a:prstGeom prst="rect">
          <a:avLst/>
        </a:prstGeom>
        <a:solidFill>
          <a:sysClr val="window" lastClr="FFFFFF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0268D9F-3347-476A-98A3-D692FDB8082C}" type="TxLink">
            <a:rPr lang="en-US" sz="1200" b="0" i="0" u="none" strike="noStrike">
              <a:solidFill>
                <a:sysClr val="windowText" lastClr="000000"/>
              </a:solidFill>
              <a:latin typeface="+mn-lt"/>
              <a:ea typeface="Yu Gothic Medium" panose="020B0500000000000000" pitchFamily="34" charset="-128"/>
              <a:cs typeface="Calibri"/>
            </a:rPr>
            <a:pPr marL="0" indent="0" algn="ctr"/>
            <a:t>Right Eye - 0 Experiences</a:t>
          </a:fld>
          <a:endParaRPr lang="en-US" sz="1200" b="0" i="0" u="none" strike="noStrike">
            <a:solidFill>
              <a:sysClr val="windowText" lastClr="000000"/>
            </a:solidFill>
            <a:latin typeface="+mn-lt"/>
            <a:ea typeface="Yu Gothic Medium" panose="020B0500000000000000" pitchFamily="34" charset="-128"/>
            <a:cs typeface="Calibri"/>
          </a:endParaRPr>
        </a:p>
      </xdr:txBody>
    </xdr:sp>
    <xdr:clientData/>
  </xdr:twoCellAnchor>
  <xdr:twoCellAnchor editAs="oneCell">
    <xdr:from>
      <xdr:col>25</xdr:col>
      <xdr:colOff>382903</xdr:colOff>
      <xdr:row>2</xdr:row>
      <xdr:rowOff>25400</xdr:rowOff>
    </xdr:from>
    <xdr:to>
      <xdr:col>28</xdr:col>
      <xdr:colOff>3177</xdr:colOff>
      <xdr:row>5</xdr:row>
      <xdr:rowOff>15875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291F65-87F4-4832-A38C-6BD1D8848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0"/>
        </a:blip>
        <a:stretch>
          <a:fillRect/>
        </a:stretch>
      </xdr:blipFill>
      <xdr:spPr>
        <a:xfrm>
          <a:off x="14035403" y="300567"/>
          <a:ext cx="2583607" cy="561975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12</xdr:row>
      <xdr:rowOff>28575</xdr:rowOff>
    </xdr:from>
    <xdr:to>
      <xdr:col>14</xdr:col>
      <xdr:colOff>466725</xdr:colOff>
      <xdr:row>23</xdr:row>
      <xdr:rowOff>36195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89E965-E122-4727-8E28-B6076749E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19048</xdr:colOff>
      <xdr:row>23</xdr:row>
      <xdr:rowOff>57150</xdr:rowOff>
    </xdr:from>
    <xdr:to>
      <xdr:col>14</xdr:col>
      <xdr:colOff>457198</xdr:colOff>
      <xdr:row>34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F74E2D-5BB2-4A53-994B-FB1CB5ED8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34</xdr:row>
      <xdr:rowOff>85723</xdr:rowOff>
    </xdr:from>
    <xdr:to>
      <xdr:col>14</xdr:col>
      <xdr:colOff>466725</xdr:colOff>
      <xdr:row>45</xdr:row>
      <xdr:rowOff>93343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0B807F-F9F7-49A6-98DD-826BF87F1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28573</xdr:colOff>
      <xdr:row>45</xdr:row>
      <xdr:rowOff>114298</xdr:rowOff>
    </xdr:from>
    <xdr:to>
      <xdr:col>14</xdr:col>
      <xdr:colOff>466723</xdr:colOff>
      <xdr:row>56</xdr:row>
      <xdr:rowOff>121918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AB841E-E960-48DE-9985-B62E4E0F2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469899</xdr:colOff>
      <xdr:row>1</xdr:row>
      <xdr:rowOff>111125</xdr:rowOff>
    </xdr:from>
    <xdr:to>
      <xdr:col>23</xdr:col>
      <xdr:colOff>631825</xdr:colOff>
      <xdr:row>4</xdr:row>
      <xdr:rowOff>139700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83A50DA-8738-41CD-B52F-40769ED98502}"/>
            </a:ext>
          </a:extLst>
        </xdr:cNvPr>
        <xdr:cNvSpPr/>
      </xdr:nvSpPr>
      <xdr:spPr>
        <a:xfrm>
          <a:off x="869949" y="193675"/>
          <a:ext cx="9191626" cy="600075"/>
        </a:xfrm>
        <a:prstGeom prst="rect">
          <a:avLst/>
        </a:prstGeom>
        <a:solidFill>
          <a:srgbClr val="00557F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u="none">
              <a:latin typeface="+mn-lt"/>
              <a:ea typeface="Yu Gothic UI Semibold" panose="020B0700000000000000" pitchFamily="34" charset="-128"/>
              <a:cs typeface="Courier New" panose="02070309020205020404" pitchFamily="49" charset="0"/>
            </a:rPr>
            <a:t>enVista Envy Experience Results</a:t>
          </a:r>
        </a:p>
      </xdr:txBody>
    </xdr:sp>
    <xdr:clientData/>
  </xdr:twoCellAnchor>
  <xdr:twoCellAnchor>
    <xdr:from>
      <xdr:col>23</xdr:col>
      <xdr:colOff>19049</xdr:colOff>
      <xdr:row>12</xdr:row>
      <xdr:rowOff>52916</xdr:rowOff>
    </xdr:from>
    <xdr:to>
      <xdr:col>28</xdr:col>
      <xdr:colOff>390524</xdr:colOff>
      <xdr:row>23</xdr:row>
      <xdr:rowOff>36195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676B30-3D73-4114-83C3-F96496E9C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9525</xdr:colOff>
      <xdr:row>23</xdr:row>
      <xdr:rowOff>66673</xdr:rowOff>
    </xdr:from>
    <xdr:to>
      <xdr:col>28</xdr:col>
      <xdr:colOff>561975</xdr:colOff>
      <xdr:row>34</xdr:row>
      <xdr:rowOff>74293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24DBF07-6B66-4915-B874-910237674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525990</xdr:colOff>
      <xdr:row>5</xdr:row>
      <xdr:rowOff>88899</xdr:rowOff>
    </xdr:from>
    <xdr:to>
      <xdr:col>19</xdr:col>
      <xdr:colOff>78315</xdr:colOff>
      <xdr:row>10</xdr:row>
      <xdr:rowOff>2116</xdr:rowOff>
    </xdr:to>
    <xdr:sp macro="" textlink="AB$11">
      <xdr:nvSpPr>
        <xdr:cNvPr id="8" name="Rectangle 7">
          <a:extLst>
            <a:ext uri="{FF2B5EF4-FFF2-40B4-BE49-F238E27FC236}">
              <a16:creationId xmlns:a16="http://schemas.microsoft.com/office/drawing/2014/main" id="{301373D3-1B94-49CA-9548-B27A3F6C7BE4}"/>
            </a:ext>
          </a:extLst>
        </xdr:cNvPr>
        <xdr:cNvSpPr/>
      </xdr:nvSpPr>
      <xdr:spPr>
        <a:xfrm>
          <a:off x="6145740" y="927099"/>
          <a:ext cx="1476375" cy="1107017"/>
        </a:xfrm>
        <a:prstGeom prst="rect">
          <a:avLst/>
        </a:prstGeom>
        <a:solidFill>
          <a:sysClr val="window" lastClr="FFFFFF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3B8EBF1-841B-4C0F-9808-386ABBB462C4}" type="TxLink">
            <a:rPr lang="en-US" sz="1050" b="0" i="0" u="none" strike="noStrike">
              <a:solidFill>
                <a:sysClr val="windowText" lastClr="000000"/>
              </a:solidFill>
              <a:latin typeface="+mn-lt"/>
              <a:ea typeface="Yu Gothic Medium" panose="020B0500000000000000" pitchFamily="34" charset="-128"/>
              <a:cs typeface="Calibri"/>
            </a:rPr>
            <a:pPr marL="0" indent="0" algn="ctr"/>
            <a:t>SEQ Aspire/Aspire Toric Diff Average  0</a:t>
          </a:fld>
          <a:endParaRPr lang="en-US" sz="1050" b="0" i="0" u="none" strike="noStrike">
            <a:solidFill>
              <a:sysClr val="windowText" lastClr="000000"/>
            </a:solidFill>
            <a:latin typeface="+mn-lt"/>
            <a:ea typeface="Yu Gothic Medium" panose="020B0500000000000000" pitchFamily="34" charset="-128"/>
            <a:cs typeface="Calibri"/>
          </a:endParaRPr>
        </a:p>
      </xdr:txBody>
    </xdr:sp>
    <xdr:clientData/>
  </xdr:twoCellAnchor>
  <xdr:twoCellAnchor>
    <xdr:from>
      <xdr:col>14</xdr:col>
      <xdr:colOff>504825</xdr:colOff>
      <xdr:row>12</xdr:row>
      <xdr:rowOff>38100</xdr:rowOff>
    </xdr:from>
    <xdr:to>
      <xdr:col>22</xdr:col>
      <xdr:colOff>66675</xdr:colOff>
      <xdr:row>23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9B3CB1C-4432-407A-8F5C-75A1993A5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504825</xdr:colOff>
      <xdr:row>23</xdr:row>
      <xdr:rowOff>66675</xdr:rowOff>
    </xdr:from>
    <xdr:to>
      <xdr:col>22</xdr:col>
      <xdr:colOff>57150</xdr:colOff>
      <xdr:row>34</xdr:row>
      <xdr:rowOff>74295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8C4F095-393E-4BA1-B2B1-AC189C6A7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504825</xdr:colOff>
      <xdr:row>34</xdr:row>
      <xdr:rowOff>85725</xdr:rowOff>
    </xdr:from>
    <xdr:to>
      <xdr:col>22</xdr:col>
      <xdr:colOff>66675</xdr:colOff>
      <xdr:row>45</xdr:row>
      <xdr:rowOff>93345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8ACC149-FF39-4B67-ABB9-2F1E2F27B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495300</xdr:colOff>
      <xdr:row>45</xdr:row>
      <xdr:rowOff>114300</xdr:rowOff>
    </xdr:from>
    <xdr:to>
      <xdr:col>22</xdr:col>
      <xdr:colOff>47625</xdr:colOff>
      <xdr:row>56</xdr:row>
      <xdr:rowOff>121920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62902CA-34AD-4D5E-8FD1-F94AD315D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222249</xdr:colOff>
      <xdr:row>5</xdr:row>
      <xdr:rowOff>82550</xdr:rowOff>
    </xdr:from>
    <xdr:to>
      <xdr:col>23</xdr:col>
      <xdr:colOff>430741</xdr:colOff>
      <xdr:row>9</xdr:row>
      <xdr:rowOff>402167</xdr:rowOff>
    </xdr:to>
    <xdr:sp macro="" textlink="AB$10">
      <xdr:nvSpPr>
        <xdr:cNvPr id="17" name="Rectangle 16">
          <a:extLst>
            <a:ext uri="{FF2B5EF4-FFF2-40B4-BE49-F238E27FC236}">
              <a16:creationId xmlns:a16="http://schemas.microsoft.com/office/drawing/2014/main" id="{3A2CBF6E-38F7-4835-A850-C46810BA85EB}"/>
            </a:ext>
          </a:extLst>
        </xdr:cNvPr>
        <xdr:cNvSpPr/>
      </xdr:nvSpPr>
      <xdr:spPr>
        <a:xfrm>
          <a:off x="8407399" y="920750"/>
          <a:ext cx="1453092" cy="1107017"/>
        </a:xfrm>
        <a:prstGeom prst="rect">
          <a:avLst/>
        </a:prstGeom>
        <a:solidFill>
          <a:sysClr val="window" lastClr="FFFFFF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BD223BD-F36D-44C4-9133-D10898F6F12E}" type="TxLink">
            <a:rPr lang="en-US" sz="1050" b="0" i="0" u="none" strike="noStrike">
              <a:solidFill>
                <a:sysClr val="windowText" lastClr="000000"/>
              </a:solidFill>
              <a:latin typeface="+mn-lt"/>
              <a:ea typeface="Yu Gothic Medium" panose="020B0500000000000000" pitchFamily="34" charset="-128"/>
              <a:cs typeface="Calibri"/>
            </a:rPr>
            <a:pPr marL="0" indent="0" algn="ctr"/>
            <a:t>SEQ Other IOL Lens Diff Average  0</a:t>
          </a:fld>
          <a:endParaRPr lang="en-US" sz="1050" b="0" i="0" u="none" strike="noStrike">
            <a:solidFill>
              <a:sysClr val="windowText" lastClr="000000"/>
            </a:solidFill>
            <a:latin typeface="+mn-lt"/>
            <a:ea typeface="Yu Gothic Medium" panose="020B0500000000000000" pitchFamily="34" charset="-128"/>
            <a:cs typeface="Calibri"/>
          </a:endParaRPr>
        </a:p>
      </xdr:txBody>
    </xdr:sp>
    <xdr:clientData/>
  </xdr:twoCellAnchor>
  <xdr:twoCellAnchor>
    <xdr:from>
      <xdr:col>23</xdr:col>
      <xdr:colOff>21167</xdr:colOff>
      <xdr:row>34</xdr:row>
      <xdr:rowOff>95250</xdr:rowOff>
    </xdr:from>
    <xdr:to>
      <xdr:col>29</xdr:col>
      <xdr:colOff>1059</xdr:colOff>
      <xdr:row>45</xdr:row>
      <xdr:rowOff>78529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954CE6-5742-41AA-BA00-03DB63E61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63499</xdr:colOff>
      <xdr:row>45</xdr:row>
      <xdr:rowOff>127000</xdr:rowOff>
    </xdr:from>
    <xdr:to>
      <xdr:col>28</xdr:col>
      <xdr:colOff>370416</xdr:colOff>
      <xdr:row>56</xdr:row>
      <xdr:rowOff>134620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9A69942-42C9-426C-9B1D-0EB85672A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548716</xdr:colOff>
      <xdr:row>1</xdr:row>
      <xdr:rowOff>57151</xdr:rowOff>
    </xdr:from>
    <xdr:to>
      <xdr:col>49</xdr:col>
      <xdr:colOff>838581</xdr:colOff>
      <xdr:row>3</xdr:row>
      <xdr:rowOff>34926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34636F-80B7-44AE-A656-AB58B310B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541" y="123826"/>
          <a:ext cx="1280084" cy="43815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19</xdr:col>
      <xdr:colOff>49392</xdr:colOff>
      <xdr:row>4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E9E0EF-1B7A-4EBA-BAFF-A95E29B5AB02}"/>
            </a:ext>
          </a:extLst>
        </xdr:cNvPr>
        <xdr:cNvSpPr/>
      </xdr:nvSpPr>
      <xdr:spPr>
        <a:xfrm>
          <a:off x="3718560" y="176784"/>
          <a:ext cx="7200000" cy="573786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32</xdr:col>
      <xdr:colOff>742812</xdr:colOff>
      <xdr:row>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20E45C-C8BE-4F85-9EBA-FA4F6B08B906}"/>
            </a:ext>
          </a:extLst>
        </xdr:cNvPr>
        <xdr:cNvSpPr/>
      </xdr:nvSpPr>
      <xdr:spPr>
        <a:xfrm>
          <a:off x="1420368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32</xdr:col>
      <xdr:colOff>708660</xdr:colOff>
      <xdr:row>1</xdr:row>
      <xdr:rowOff>0</xdr:rowOff>
    </xdr:from>
    <xdr:to>
      <xdr:col>41</xdr:col>
      <xdr:colOff>895212</xdr:colOff>
      <xdr:row>4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AC64A02-DF2F-46C0-9836-E19C4FF934F4}"/>
            </a:ext>
          </a:extLst>
        </xdr:cNvPr>
        <xdr:cNvSpPr/>
      </xdr:nvSpPr>
      <xdr:spPr>
        <a:xfrm>
          <a:off x="2324100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41</xdr:col>
      <xdr:colOff>899160</xdr:colOff>
      <xdr:row>1</xdr:row>
      <xdr:rowOff>0</xdr:rowOff>
    </xdr:from>
    <xdr:to>
      <xdr:col>50</xdr:col>
      <xdr:colOff>780912</xdr:colOff>
      <xdr:row>4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4E45D30-C8AB-4B0D-80C9-7B3111D2F0CA}"/>
            </a:ext>
          </a:extLst>
        </xdr:cNvPr>
        <xdr:cNvSpPr/>
      </xdr:nvSpPr>
      <xdr:spPr>
        <a:xfrm>
          <a:off x="3231642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50</xdr:col>
      <xdr:colOff>784860</xdr:colOff>
      <xdr:row>1</xdr:row>
      <xdr:rowOff>0</xdr:rowOff>
    </xdr:from>
    <xdr:to>
      <xdr:col>60</xdr:col>
      <xdr:colOff>41772</xdr:colOff>
      <xdr:row>4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6E027C0-C253-4E52-9DCC-F0C9FC44BB79}"/>
            </a:ext>
          </a:extLst>
        </xdr:cNvPr>
        <xdr:cNvSpPr/>
      </xdr:nvSpPr>
      <xdr:spPr>
        <a:xfrm>
          <a:off x="4139184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60</xdr:col>
      <xdr:colOff>0</xdr:colOff>
      <xdr:row>1</xdr:row>
      <xdr:rowOff>0</xdr:rowOff>
    </xdr:from>
    <xdr:to>
      <xdr:col>72</xdr:col>
      <xdr:colOff>239892</xdr:colOff>
      <xdr:row>4</xdr:row>
      <xdr:rowOff>19050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11EA55-46F3-4E3F-AD1D-1796769A17F6}"/>
            </a:ext>
          </a:extLst>
        </xdr:cNvPr>
        <xdr:cNvSpPr/>
      </xdr:nvSpPr>
      <xdr:spPr>
        <a:xfrm>
          <a:off x="5042154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72</xdr:col>
      <xdr:colOff>0</xdr:colOff>
      <xdr:row>1</xdr:row>
      <xdr:rowOff>0</xdr:rowOff>
    </xdr:from>
    <xdr:to>
      <xdr:col>83</xdr:col>
      <xdr:colOff>57012</xdr:colOff>
      <xdr:row>4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BB4F9EA-0245-4AD8-8B7C-5CF9701EC134}"/>
            </a:ext>
          </a:extLst>
        </xdr:cNvPr>
        <xdr:cNvSpPr/>
      </xdr:nvSpPr>
      <xdr:spPr>
        <a:xfrm>
          <a:off x="5925312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83</xdr:col>
      <xdr:colOff>0</xdr:colOff>
      <xdr:row>1</xdr:row>
      <xdr:rowOff>0</xdr:rowOff>
    </xdr:from>
    <xdr:to>
      <xdr:col>98</xdr:col>
      <xdr:colOff>57012</xdr:colOff>
      <xdr:row>4</xdr:row>
      <xdr:rowOff>19050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CD2F49-8318-4641-BCE6-99DDBD3D7478}"/>
            </a:ext>
          </a:extLst>
        </xdr:cNvPr>
        <xdr:cNvSpPr/>
      </xdr:nvSpPr>
      <xdr:spPr>
        <a:xfrm>
          <a:off x="6826758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98</xdr:col>
      <xdr:colOff>0</xdr:colOff>
      <xdr:row>1</xdr:row>
      <xdr:rowOff>0</xdr:rowOff>
    </xdr:from>
    <xdr:to>
      <xdr:col>109</xdr:col>
      <xdr:colOff>57012</xdr:colOff>
      <xdr:row>4</xdr:row>
      <xdr:rowOff>19050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8462D00-31C8-4A75-87CE-8842DBFC0C9E}"/>
            </a:ext>
          </a:extLst>
        </xdr:cNvPr>
        <xdr:cNvSpPr/>
      </xdr:nvSpPr>
      <xdr:spPr>
        <a:xfrm>
          <a:off x="7728204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109</xdr:col>
      <xdr:colOff>0</xdr:colOff>
      <xdr:row>1</xdr:row>
      <xdr:rowOff>0</xdr:rowOff>
    </xdr:from>
    <xdr:to>
      <xdr:col>122</xdr:col>
      <xdr:colOff>57012</xdr:colOff>
      <xdr:row>4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9937D91-9FE0-4F7E-A2EC-F8533E30E1C2}"/>
            </a:ext>
          </a:extLst>
        </xdr:cNvPr>
        <xdr:cNvSpPr/>
      </xdr:nvSpPr>
      <xdr:spPr>
        <a:xfrm>
          <a:off x="87683340" y="175260"/>
          <a:ext cx="9071472" cy="57531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>
    <xdr:from>
      <xdr:col>122</xdr:col>
      <xdr:colOff>0</xdr:colOff>
      <xdr:row>1</xdr:row>
      <xdr:rowOff>0</xdr:rowOff>
    </xdr:from>
    <xdr:to>
      <xdr:col>134</xdr:col>
      <xdr:colOff>1790700</xdr:colOff>
      <xdr:row>4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9A76F4D-8CCC-477F-946E-FCAE03E7A9BC}"/>
            </a:ext>
          </a:extLst>
        </xdr:cNvPr>
        <xdr:cNvSpPr/>
      </xdr:nvSpPr>
      <xdr:spPr>
        <a:xfrm>
          <a:off x="120332500" y="228600"/>
          <a:ext cx="13423900" cy="704850"/>
        </a:xfrm>
        <a:prstGeom prst="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enVista Envy </a:t>
          </a:r>
          <a:r>
            <a:rPr lang="en-US" sz="2400" baseline="0"/>
            <a:t>Experience Tracking Information</a:t>
          </a:r>
          <a:endParaRPr lang="en-US" sz="2400"/>
        </a:p>
      </xdr:txBody>
    </xdr:sp>
    <xdr:clientData/>
  </xdr:twoCellAnchor>
  <xdr:twoCellAnchor editAs="oneCell">
    <xdr:from>
      <xdr:col>131</xdr:col>
      <xdr:colOff>0</xdr:colOff>
      <xdr:row>1</xdr:row>
      <xdr:rowOff>53340</xdr:rowOff>
    </xdr:from>
    <xdr:to>
      <xdr:col>132</xdr:col>
      <xdr:colOff>391624</xdr:colOff>
      <xdr:row>3</xdr:row>
      <xdr:rowOff>33655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09673C8-45F2-4778-9753-5EB667D20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04340" y="22860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118</xdr:col>
      <xdr:colOff>647700</xdr:colOff>
      <xdr:row>1</xdr:row>
      <xdr:rowOff>91440</xdr:rowOff>
    </xdr:from>
    <xdr:to>
      <xdr:col>119</xdr:col>
      <xdr:colOff>942804</xdr:colOff>
      <xdr:row>3</xdr:row>
      <xdr:rowOff>71755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0081DBF-941B-44AB-BD0A-BF3F07B4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71820" y="26670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107</xdr:col>
      <xdr:colOff>0</xdr:colOff>
      <xdr:row>1</xdr:row>
      <xdr:rowOff>83820</xdr:rowOff>
    </xdr:from>
    <xdr:to>
      <xdr:col>108</xdr:col>
      <xdr:colOff>467824</xdr:colOff>
      <xdr:row>3</xdr:row>
      <xdr:rowOff>64135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55ED04-842B-4EAE-A3B0-D76A499E5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59240" y="25908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92</xdr:col>
      <xdr:colOff>617220</xdr:colOff>
      <xdr:row>1</xdr:row>
      <xdr:rowOff>45720</xdr:rowOff>
    </xdr:from>
    <xdr:to>
      <xdr:col>93</xdr:col>
      <xdr:colOff>912324</xdr:colOff>
      <xdr:row>3</xdr:row>
      <xdr:rowOff>26035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7FA5F20-3400-4528-AC31-9EBCAD8A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5580" y="22098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81</xdr:col>
      <xdr:colOff>86360</xdr:colOff>
      <xdr:row>1</xdr:row>
      <xdr:rowOff>73660</xdr:rowOff>
    </xdr:from>
    <xdr:to>
      <xdr:col>82</xdr:col>
      <xdr:colOff>267164</xdr:colOff>
      <xdr:row>3</xdr:row>
      <xdr:rowOff>53975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5E63A6E-3C75-428F-BB70-E1D119C1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33960" y="302260"/>
          <a:ext cx="1438104" cy="437515"/>
        </a:xfrm>
        <a:prstGeom prst="rect">
          <a:avLst/>
        </a:prstGeom>
      </xdr:spPr>
    </xdr:pic>
    <xdr:clientData/>
  </xdr:twoCellAnchor>
  <xdr:twoCellAnchor editAs="oneCell">
    <xdr:from>
      <xdr:col>69</xdr:col>
      <xdr:colOff>22860</xdr:colOff>
      <xdr:row>1</xdr:row>
      <xdr:rowOff>53340</xdr:rowOff>
    </xdr:from>
    <xdr:to>
      <xdr:col>70</xdr:col>
      <xdr:colOff>317964</xdr:colOff>
      <xdr:row>3</xdr:row>
      <xdr:rowOff>33655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B1D228F-1A91-481C-9ED1-ED4126951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5720" y="22860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57</xdr:col>
      <xdr:colOff>571500</xdr:colOff>
      <xdr:row>1</xdr:row>
      <xdr:rowOff>76200</xdr:rowOff>
    </xdr:from>
    <xdr:to>
      <xdr:col>59</xdr:col>
      <xdr:colOff>1099</xdr:colOff>
      <xdr:row>3</xdr:row>
      <xdr:rowOff>56515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4D11DB5-E364-4045-B2CC-003EE190D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77900" y="304800"/>
          <a:ext cx="1496524" cy="437515"/>
        </a:xfrm>
        <a:prstGeom prst="rect">
          <a:avLst/>
        </a:prstGeom>
      </xdr:spPr>
    </xdr:pic>
    <xdr:clientData/>
  </xdr:twoCellAnchor>
  <xdr:twoCellAnchor editAs="oneCell">
    <xdr:from>
      <xdr:col>48</xdr:col>
      <xdr:colOff>464820</xdr:colOff>
      <xdr:row>1</xdr:row>
      <xdr:rowOff>60960</xdr:rowOff>
    </xdr:from>
    <xdr:to>
      <xdr:col>49</xdr:col>
      <xdr:colOff>752304</xdr:colOff>
      <xdr:row>3</xdr:row>
      <xdr:rowOff>41275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B17E13E-32AA-47DC-B415-705B2BEB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29640" y="23622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39</xdr:col>
      <xdr:colOff>655320</xdr:colOff>
      <xdr:row>1</xdr:row>
      <xdr:rowOff>83820</xdr:rowOff>
    </xdr:from>
    <xdr:to>
      <xdr:col>40</xdr:col>
      <xdr:colOff>942804</xdr:colOff>
      <xdr:row>3</xdr:row>
      <xdr:rowOff>64135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5E09D48-EE11-4E90-A318-18E004D80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30420" y="25908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1</xdr:row>
      <xdr:rowOff>53340</xdr:rowOff>
    </xdr:from>
    <xdr:to>
      <xdr:col>31</xdr:col>
      <xdr:colOff>1460964</xdr:colOff>
      <xdr:row>3</xdr:row>
      <xdr:rowOff>33655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CEBD361-7D88-46D8-8EB8-50725BA0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4060" y="228600"/>
          <a:ext cx="1308564" cy="434975"/>
        </a:xfrm>
        <a:prstGeom prst="rect">
          <a:avLst/>
        </a:prstGeom>
      </xdr:spPr>
    </xdr:pic>
    <xdr:clientData/>
  </xdr:twoCellAnchor>
  <xdr:twoCellAnchor editAs="oneCell">
    <xdr:from>
      <xdr:col>16</xdr:col>
      <xdr:colOff>320040</xdr:colOff>
      <xdr:row>1</xdr:row>
      <xdr:rowOff>76200</xdr:rowOff>
    </xdr:from>
    <xdr:to>
      <xdr:col>18</xdr:col>
      <xdr:colOff>150324</xdr:colOff>
      <xdr:row>3</xdr:row>
      <xdr:rowOff>56515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D210400-59FC-4AE5-9BD9-BBCE26F34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6300" y="251460"/>
          <a:ext cx="1308564" cy="434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1</xdr:row>
      <xdr:rowOff>1</xdr:rowOff>
    </xdr:from>
    <xdr:to>
      <xdr:col>15</xdr:col>
      <xdr:colOff>228600</xdr:colOff>
      <xdr:row>4</xdr:row>
      <xdr:rowOff>19051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A8DB32-2583-402A-91AE-A043326C77FD}"/>
            </a:ext>
          </a:extLst>
        </xdr:cNvPr>
        <xdr:cNvSpPr/>
      </xdr:nvSpPr>
      <xdr:spPr>
        <a:xfrm>
          <a:off x="247649" y="66676"/>
          <a:ext cx="7591426" cy="561975"/>
        </a:xfrm>
        <a:prstGeom prst="roundRect">
          <a:avLst/>
        </a:prstGeom>
        <a:gradFill flip="none" rotWithShape="1">
          <a:gsLst>
            <a:gs pos="0">
              <a:srgbClr val="00557F">
                <a:shade val="30000"/>
                <a:satMod val="115000"/>
              </a:srgbClr>
            </a:gs>
            <a:gs pos="50000">
              <a:srgbClr val="00557F">
                <a:shade val="67500"/>
                <a:satMod val="115000"/>
              </a:srgbClr>
            </a:gs>
            <a:gs pos="100000">
              <a:srgbClr val="00557F">
                <a:shade val="100000"/>
                <a:satMod val="115000"/>
              </a:srgb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B+L Apthera</a:t>
          </a:r>
          <a:r>
            <a:rPr lang="en-US" sz="2400" baseline="0"/>
            <a:t> IOL Experience Tracking Information</a:t>
          </a:r>
          <a:endParaRPr lang="en-US" sz="2400"/>
        </a:p>
      </xdr:txBody>
    </xdr:sp>
    <xdr:clientData/>
  </xdr:twoCellAnchor>
  <xdr:twoCellAnchor editAs="oneCell">
    <xdr:from>
      <xdr:col>13</xdr:col>
      <xdr:colOff>171450</xdr:colOff>
      <xdr:row>1</xdr:row>
      <xdr:rowOff>57150</xdr:rowOff>
    </xdr:from>
    <xdr:to>
      <xdr:col>15</xdr:col>
      <xdr:colOff>190500</xdr:colOff>
      <xdr:row>3</xdr:row>
      <xdr:rowOff>132071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E74FF4-A7E5-4A63-967B-DCDADF52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123825"/>
          <a:ext cx="1266825" cy="436871"/>
        </a:xfrm>
        <a:prstGeom prst="rect">
          <a:avLst/>
        </a:prstGeom>
      </xdr:spPr>
    </xdr:pic>
    <xdr:clientData/>
  </xdr:twoCellAnchor>
  <xdr:twoCellAnchor>
    <xdr:from>
      <xdr:col>15</xdr:col>
      <xdr:colOff>415028</xdr:colOff>
      <xdr:row>2</xdr:row>
      <xdr:rowOff>30141</xdr:rowOff>
    </xdr:from>
    <xdr:to>
      <xdr:col>16</xdr:col>
      <xdr:colOff>91442</xdr:colOff>
      <xdr:row>5</xdr:row>
      <xdr:rowOff>42193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D63DA6F-9F5E-4014-9FF6-73E9F9A83DB6}"/>
            </a:ext>
          </a:extLst>
        </xdr:cNvPr>
        <xdr:cNvSpPr/>
      </xdr:nvSpPr>
      <xdr:spPr>
        <a:xfrm rot="8017086">
          <a:off x="7871972" y="431322"/>
          <a:ext cx="564502" cy="257439"/>
        </a:xfrm>
        <a:prstGeom prst="rightArrow">
          <a:avLst/>
        </a:prstGeom>
        <a:solidFill>
          <a:srgbClr val="00557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229385-1ED3-4809-A6A4-BCED5CAAE045}" name="Data" displayName="Data" ref="E6:X27" totalsRowShown="0" headerRowDxfId="49" dataDxfId="48" tableBorderDxfId="47">
  <autoFilter ref="E6:X27" xr:uid="{A13FCEAC-74ED-4043-8947-FCC6F120BC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5448941-7C68-4680-AF92-F30FB3441E25}" name="IOL Power" dataDxfId="46"/>
    <tableColumn id="2" xr3:uid="{90E9E613-28ED-483A-91DF-34976B429AB2}" name="Lens Type" dataDxfId="45"/>
    <tableColumn id="3" xr3:uid="{A65B186F-3F29-429A-8FF1-01A1EEF49928}" name="Patient Identifier" dataDxfId="44"/>
    <tableColumn id="4" xr3:uid="{F7875D8C-AB96-4020-9D3D-62C0839581B0}" name="Est. Date Of Service" dataDxfId="43"/>
    <tableColumn id="5" xr3:uid="{032C605E-F040-4E9E-83DE-43555990E587}" name="Eye (OD/OS)" dataDxfId="42"/>
    <tableColumn id="6" xr3:uid="{46E7433E-22C7-4535-8204-0D5756E937E0}" name="SEQ Target" dataDxfId="41"/>
    <tableColumn id="15" xr3:uid="{CCFDD3A0-ECDE-4A9E-9A3F-8ECA05BC1C18}" name="Pre Op Flat K" dataDxfId="40"/>
    <tableColumn id="16" xr3:uid="{0970D297-BFA7-46CF-AD94-A2C346C3203B}" name="Pre-Op Steep K" dataDxfId="39"/>
    <tableColumn id="17" xr3:uid="{81CFF249-3D6E-4327-918B-64C7D098A3E8}" name="Flat &amp; Steep K Diff" dataDxfId="38">
      <calculatedColumnFormula>ABS(Data[[#This Row],[Pre-Op Steep K]]-Data[[#This Row],[Pre Op Flat K]])</calculatedColumnFormula>
    </tableColumn>
    <tableColumn id="7" xr3:uid="{BE7AACAB-6160-43D2-9F16-D59170B126F1}" name="BCDVA" dataDxfId="37"/>
    <tableColumn id="8" xr3:uid="{B87C7F11-E397-4ED3-A7C8-8CA0A6CF69E0}" name="UCDVA" dataDxfId="36"/>
    <tableColumn id="9" xr3:uid="{C702A3A4-96C0-46E1-A6D1-5604C5F219D6}" name="UCIVA" dataDxfId="35"/>
    <tableColumn id="10" xr3:uid="{9B1AB9B2-FA86-4B46-826A-AF0E5E4868C8}" name="UCNVA" dataDxfId="34"/>
    <tableColumn id="11" xr3:uid="{5F8F2511-50DE-44D2-B24D-678EB6FEBE02}" name="SEQ Outcome" dataDxfId="33"/>
    <tableColumn id="18" xr3:uid="{576E3C29-EC58-4E8E-952A-C2616506BD06}" name="Refractive Residual Cylinder" dataDxfId="32"/>
    <tableColumn id="21" xr3:uid="{0B8FCC8F-401D-41CA-9E77-950D57FA6834}" name="Corneal Residual Cylinder" dataDxfId="31"/>
    <tableColumn id="12" xr3:uid="{E166B9BB-66FB-4438-9E0D-DE952519A0E5}" name="Include (Y/N)" dataDxfId="30"/>
    <tableColumn id="13" xr3:uid="{BDAFE311-2F91-4626-AF2A-74C2CF1B287F}" name="SEQ Diff" dataDxfId="29">
      <calculatedColumnFormula>Data[[#This Row],[SEQ Target]]+Data[[#This Row],[SEQ Outcome]]</calculatedColumnFormula>
    </tableColumn>
    <tableColumn id="14" xr3:uid="{4F0C391C-107B-434D-84BF-1743E6E4DD80}" name="Column1" dataDxfId="28">
      <calculatedColumnFormula>IF(AND(Data[[#This Row],[Patient Identifier]]&lt;&gt;"Enter ID",Data[[#This Row],[Include (Y/N)]]="Yes"),1,0)</calculatedColumnFormula>
    </tableColumn>
    <tableColumn id="19" xr3:uid="{5C3E6DB4-DEB7-48E1-A832-AC7CB32C12BE}" name="Column12" dataDxfId="27">
      <calculatedColumnFormula>IF(Data[[#This Row],[SEQ Outcome]]&lt;Data[[#This Row],[SEQ Target]],-1,1)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8E53F-BCB2-4CE5-B567-DD8DEDF7BD3A}" name="Data4" displayName="Data4" ref="AB7:EE37" headerRowCount="0" totalsRowShown="0" headerRowDxfId="268" dataDxfId="267" tableBorderDxfId="266">
  <tableColumns count="108">
    <tableColumn id="2" xr3:uid="{55ACA219-AF80-4E9A-ACDB-A5D11B7C868D}" name="IOL Power_x000a_Toric" headerRowDxfId="265" dataDxfId="264"/>
    <tableColumn id="1" xr3:uid="{BBB29FD9-803F-48E6-9B26-654305324F49}" name="IOL Power_x000a_Toric2" headerRowDxfId="263" dataDxfId="262"/>
    <tableColumn id="3" xr3:uid="{5B547C7B-0BD2-4E7A-8811-71F20D1A4A46}" name="Toric IOL power if the implanted IOL is toric_x000a_OD eye" headerRowDxfId="261" dataDxfId="260"/>
    <tableColumn id="4" xr3:uid="{62B2F7E7-DEBF-4D6A-AC20-F38E8D7DE3C5}" name="SEQ target_x000a_OD eye" headerRowDxfId="259" dataDxfId="258"/>
    <tableColumn id="22" xr3:uid="{0A51CEF3-1F96-450B-B468-73C0879A6D0E}" name="Date of operative visit_x000a_OS eye" headerRowDxfId="257" dataDxfId="256"/>
    <tableColumn id="20" xr3:uid="{82F0A188-9041-408A-BC53-D72B8EB08465}" name="IOL name_x000a_OS eye" headerRowDxfId="255" dataDxfId="254"/>
    <tableColumn id="5" xr3:uid="{847F8181-169F-4107-BD87-0EE79CF04070}" name="SEQ IOL Power_x000a_OS eye" headerRowDxfId="253" dataDxfId="252"/>
    <tableColumn id="6" xr3:uid="{488AC80A-E30F-4D9E-B590-17A9181927DD}" name="Toric IOL power if the implanted IOL is toric_x000a_OS eye" headerRowDxfId="251" dataDxfId="250"/>
    <tableColumn id="25" xr3:uid="{D60E0A37-C432-457E-9828-3C42A79774E7}" name="SEQ target_x000a_OS eye" headerRowDxfId="249" dataDxfId="248"/>
    <tableColumn id="26" xr3:uid="{D8219297-8773-4C5D-886F-99345F341AE3}" name="Intra-operative complications _x000a_(If yes, please explain and mention the eye involved is OD/OS/both eyes)" headerRowDxfId="247" dataDxfId="246"/>
    <tableColumn id="27" xr3:uid="{2EF73167-26F9-444A-9E93-D7E31363C5AC}" name="Additional surgical procedures _x000a_(If yes, please explain and mention if the procedure was done in OD/OS/both eyes)" headerRowDxfId="245" dataDxfId="244"/>
    <tableColumn id="28" xr3:uid="{73516F05-0375-46F8-9038-3E259D634B4E}" name="Date of  postop  week 1 visit" headerRowDxfId="243" dataDxfId="242"/>
    <tableColumn id="102" xr3:uid="{58750D6C-01A9-4FDB-8F76-F47A1D0D79F5}" name="UDVA_x000a_20/denominator_x000a_OD eye" headerRowDxfId="241" dataDxfId="240"/>
    <tableColumn id="103" xr3:uid="{74C99CAE-E4CD-4DEF-A3B1-EDF4778611F8}" name="UDVA_x000a_20/denominator_x000a_OS eye" headerRowDxfId="239" dataDxfId="238"/>
    <tableColumn id="104" xr3:uid="{3B7DB902-4867-4EF0-8C7C-0A78ECFC90B1}" name="UDVA_x000a_20/denominator_x000a_Binocular" headerRowDxfId="237" dataDxfId="236"/>
    <tableColumn id="7" xr3:uid="{1DB5A59A-3D26-4723-A568-27C0DD0DA985}" name="CDVA_x000a_20/denominatorOD eye" headerRowDxfId="235" dataDxfId="234"/>
    <tableColumn id="84" xr3:uid="{ED05912D-063F-414A-9589-F2F938F770FF}" name="CDVA_x000a_20/denominatorOS eye" headerRowDxfId="233" dataDxfId="232"/>
    <tableColumn id="85" xr3:uid="{97616610-716D-40B2-BDD4-3609E98BB1E3}" name="CDVA_x000a_20/denominator_x000a_Binocular" headerRowDxfId="231" dataDxfId="230"/>
    <tableColumn id="9" xr3:uid="{E8FAD4A9-163D-48F0-A472-749D2AECCAF2}" name="UIVA_x000a_20/denominatorOD eye" headerRowDxfId="229" dataDxfId="228"/>
    <tableColumn id="88" xr3:uid="{4051FE66-9260-420F-99F1-EC7DCC210D62}" name="UIVA_x000a_20/denominatorOS eye" headerRowDxfId="227" dataDxfId="226"/>
    <tableColumn id="89" xr3:uid="{84F79324-8271-4856-B09C-6A82FCC5BB02}" name="UIVA_x000a_20/denominator_x000a_Binocular" headerRowDxfId="225" dataDxfId="224"/>
    <tableColumn id="10" xr3:uid="{84737DEF-D7EA-4840-BBEB-899D5EF4DCED}" name="UNVA_x000a_20/denominatorOD eye" headerRowDxfId="223" dataDxfId="222"/>
    <tableColumn id="90" xr3:uid="{A051E583-4817-42C9-9DA4-12CC4D731E75}" name="UNVA_x000a_20/denominatorOS eye" headerRowDxfId="221" dataDxfId="220"/>
    <tableColumn id="91" xr3:uid="{C4D01447-192E-4639-8920-D018BCF56FF1}" name="UNVA_x000a_20/denominator_x000a_Binocular" headerRowDxfId="219" dataDxfId="218"/>
    <tableColumn id="23" xr3:uid="{04C7913D-9728-4093-8A41-07FBE45774E0}" name="Refractive sphere_x000a_OD eye" headerRowDxfId="217" dataDxfId="216"/>
    <tableColumn id="92" xr3:uid="{BFE917CB-844E-4A23-98E1-96F4ABFE076C}" name="Refractive  cylinder_x000a_OD eye" headerRowDxfId="215" dataDxfId="214"/>
    <tableColumn id="18" xr3:uid="{F57AFF36-D8AA-43CD-B1C3-DEEC370A6E59}" name="Refractive  cylinder axis_x000a_OD eye" headerRowDxfId="213" dataDxfId="212"/>
    <tableColumn id="29" xr3:uid="{E2F06BA5-9E44-42CE-913F-469D64ED9F00}" name="SEQ_x000a_OD eye" headerRowDxfId="211" dataDxfId="210">
      <calculatedColumnFormula>IF(AND(Data4[[#This Row],[Refractive sphere
OD eye]]="",Data4[[#This Row],[Refractive  cylinder
OD eye]]="")= TRUE,"",Data4[[#This Row],[Refractive sphere
OD eye]]+(Data4[[#This Row],[Refractive  cylinder
OD eye]]/2))</calculatedColumnFormula>
    </tableColumn>
    <tableColumn id="93" xr3:uid="{E964CDDD-A43D-4FB7-A1A7-9194A10F820E}" name="Refractive sphere_x000a_OS eye" headerRowDxfId="209" dataDxfId="208"/>
    <tableColumn id="94" xr3:uid="{702228F6-9609-4A8E-9002-BB0113EFD3E7}" name="Refractive cylinder_x000a_OS eye" headerRowDxfId="207" dataDxfId="206"/>
    <tableColumn id="95" xr3:uid="{6E4E70C7-2072-4773-8DF3-562A8800285F}" name="Refractive cylinder axis_x000a_OS eye" headerRowDxfId="205" dataDxfId="204"/>
    <tableColumn id="11" xr3:uid="{773159B0-69EB-458E-AA42-8DD8D18B6270}" name="SEQ_x000a_OS eye" headerRowDxfId="203" dataDxfId="202">
      <calculatedColumnFormula>IF(AND(Data4[[#This Row],[Refractive sphere
OS eye]]="",Data4[[#This Row],[Refractive cylinder
OS eye]]="")=TRUE,"",Data4[[#This Row],[Refractive sphere
OS eye]]+(Data4[[#This Row],[Refractive cylinder
OS eye]]/2))</calculatedColumnFormula>
    </tableColumn>
    <tableColumn id="97" xr3:uid="{90A95469-866C-4A3B-9541-B1F957D6C389}" name="Adverse events_x000a_(if any)" headerRowDxfId="201" dataDxfId="200"/>
    <tableColumn id="98" xr3:uid="{30E8A2CF-1926-4E85-A543-CA1511E14124}" name="PCO_x000a_(If yes, mention the eye and grade of PCO from 0-4)" headerRowDxfId="199" dataDxfId="198"/>
    <tableColumn id="99" xr3:uid="{1327B260-9698-4E21-A9B4-144017F9301E}" name="Glistenings _x000a_(If yes, mention the eye in which it occurred and the grade of glistenings from 1-4)" headerRowDxfId="197" dataDxfId="196"/>
    <tableColumn id="45" xr3:uid="{5EBC1945-3A1B-4F9F-BBED-179E88CB299A}" name="Date of postop Month 1 visit" headerRowDxfId="195" dataDxfId="194"/>
    <tableColumn id="46" xr3:uid="{46E78275-DB33-427B-9AB6-754822C5EEF3}" name="UDVA_x000a_20/denominator_x000a_OD eye2" headerRowDxfId="193" dataDxfId="192"/>
    <tableColumn id="47" xr3:uid="{A0BA0B2D-0F75-4ABE-8200-3775833DF091}" name="UDVA_x000a_20/denominator_x000a_OS eye3" headerRowDxfId="191" dataDxfId="190"/>
    <tableColumn id="48" xr3:uid="{A624C289-579B-44DB-A3A2-105D40D9C8E1}" name="UDVA_x000a_20/denominator_x000a_Binocular4" headerRowDxfId="189" dataDxfId="188"/>
    <tableColumn id="49" xr3:uid="{CD22047F-23EB-454E-92A1-DA7DA9FC1E5D}" name="CDVA_x000a_20/denominatorOD eye5" headerRowDxfId="187" dataDxfId="186"/>
    <tableColumn id="40" xr3:uid="{2327D82B-F7D2-4D52-8CC4-6E17A854241F}" name="CDVA_x000a_20/denominatorOS eye6" headerRowDxfId="185" dataDxfId="184"/>
    <tableColumn id="41" xr3:uid="{5E27A10F-B455-4B28-956E-39BCB9557D85}" name="CDVA_x000a_20/denominator_x000a_Binocular7" headerRowDxfId="183" dataDxfId="182"/>
    <tableColumn id="42" xr3:uid="{EA5C3E0A-867B-4BBA-9CA2-192E19EFDA37}" name="UIVA_x000a_20/denominatorOD eye8" headerRowDxfId="181" dataDxfId="180"/>
    <tableColumn id="43" xr3:uid="{538ED71D-85AA-456F-882F-DA7CA38EAB69}" name="UIVA_x000a_20/denominatorOS eye9" headerRowDxfId="179" dataDxfId="178"/>
    <tableColumn id="44" xr3:uid="{D167AC9A-A4CF-4DD5-880D-EC1B0B65F183}" name="UIVA_x000a_20/denominator_x000a_Binocular10" headerRowDxfId="177" dataDxfId="176"/>
    <tableColumn id="35" xr3:uid="{3CFA2B0A-B241-453B-B553-C02A3E7886FE}" name="UNVA_x000a_20/denominatorOD eye11" headerRowDxfId="175" dataDxfId="174"/>
    <tableColumn id="50" xr3:uid="{FB109335-0C53-43DF-B4CB-8609E2780B8E}" name="UNVA_x000a_20/denominatorOS eye12" headerRowDxfId="173" dataDxfId="172"/>
    <tableColumn id="51" xr3:uid="{CA8137FB-7DD3-4BF9-8E1E-7636AC82BD2A}" name="UNVA_x000a_20/denominator_x000a_Binocular13" headerRowDxfId="171" dataDxfId="170"/>
    <tableColumn id="52" xr3:uid="{409C1C45-45D8-4951-9AF6-7774789B6C6E}" name="Refractive sphere_x000a_OD eye14" headerRowDxfId="169" dataDxfId="168"/>
    <tableColumn id="53" xr3:uid="{949EA60D-4BFD-44B1-9FA1-623FB134A4D4}" name="Refractive  cylinder_x000a_OD eye15" headerRowDxfId="167" dataDxfId="166"/>
    <tableColumn id="36" xr3:uid="{EA8CB979-DF22-4101-92F5-E2BA14B0FA84}" name="Refractive  cylinder axis_x000a_OD eye16" headerRowDxfId="165" dataDxfId="164"/>
    <tableColumn id="37" xr3:uid="{CE99232C-30A0-4030-93E4-7D330DE3ED26}" name="SEQ_x000a_OD eye17" headerRowDxfId="163" dataDxfId="162">
      <calculatedColumnFormula>IF(AND(Data4[[#This Row],[Refractive sphere
OD eye14]]="",Data4[[#This Row],[Refractive  cylinder
OD eye15]]="")=TRUE,"",Data4[[#This Row],[Refractive sphere
OD eye]]+(Data4[[#This Row],[Refractive  cylinder
OD eye]]/2))</calculatedColumnFormula>
    </tableColumn>
    <tableColumn id="38" xr3:uid="{F7251C4E-3002-4B62-96F4-92B6A08EE747}" name="Refractive sphere_x000a_OS eye18" headerRowDxfId="161" dataDxfId="160"/>
    <tableColumn id="39" xr3:uid="{785C4616-A46B-45DB-B913-086C940764B7}" name="Refractive cylinder_x000a_OS eye19" headerRowDxfId="159" dataDxfId="158"/>
    <tableColumn id="30" xr3:uid="{9B7B8648-6C5E-45CB-B5B1-B58776641BBB}" name="Refractive cylinder axis_x000a_OS eye20" headerRowDxfId="157" dataDxfId="156"/>
    <tableColumn id="31" xr3:uid="{7DCC1B21-A052-4118-A677-064B141FD153}" name="SEQ_x000a_OS eye21" headerRowDxfId="155" dataDxfId="154">
      <calculatedColumnFormula>IF(AND(Data4[[#This Row],[Refractive sphere
OS eye18]]="",Data4[[#This Row],[Refractive cylinder
OS eye19]]="")=TRUE,"",Data4[[#This Row],[Refractive sphere
OS eye]]+(Data4[[#This Row],[Refractive cylinder
OS eye]]/2))</calculatedColumnFormula>
    </tableColumn>
    <tableColumn id="63" xr3:uid="{BB3AB98F-9C40-42EC-A8BB-93409145465A}" name="Adverse events_x000a_(if any)24" headerRowDxfId="153" dataDxfId="152"/>
    <tableColumn id="60" xr3:uid="{FB61343C-D427-47A2-9785-4ACC44F3B666}" name="PCO_x000a_(If yes, mention the eye and grade of PCO from 0-4)25" headerRowDxfId="151" dataDxfId="150"/>
    <tableColumn id="61" xr3:uid="{4313C085-8F8C-4AEA-BCF0-FA051B8C9F57}" name="Glistenings _x000a_(If yes, mention the eye in which it occurred and the grade of glistenings from 1-4)26" headerRowDxfId="149" dataDxfId="148"/>
    <tableColumn id="15" xr3:uid="{D01E2D5C-5215-4392-B7BB-0F0443FF81D5}" name="Date of postop 3 months visit" headerRowDxfId="147" dataDxfId="146"/>
    <tableColumn id="8" xr3:uid="{D6657571-15EC-427E-998A-62968A7BF453}" name="UDVA_x000a_20/denominator_x000a_OD eye3" headerRowDxfId="145" dataDxfId="144"/>
    <tableColumn id="58" xr3:uid="{2D0702FF-AA17-4247-B864-7C74DF56B424}" name="UDVA_x000a_20/denominator_x000a_OS eye4" headerRowDxfId="143" dataDxfId="142"/>
    <tableColumn id="59" xr3:uid="{7E8E6844-A4A2-4FC5-894F-79E023D33615}" name="UDVA_x000a_20/denominator_x000a_Binocular5" headerRowDxfId="141" dataDxfId="140"/>
    <tableColumn id="56" xr3:uid="{D73CBC76-B613-48BA-9E86-A10D6AEC70ED}" name="CDVA_x000a_20/denominatorOD eye6" headerRowDxfId="139" dataDxfId="138"/>
    <tableColumn id="57" xr3:uid="{FDED725E-A8F4-4CCE-A98A-CCD778C92518}" name="CDVA_x000a_20/denominatorOS eye7" headerRowDxfId="137" dataDxfId="136"/>
    <tableColumn id="54" xr3:uid="{21370046-90EC-4BD0-9A41-25A091A9F5B1}" name="CDVA_x000a_20/denominator_x000a_Binocular8" headerRowDxfId="135" dataDxfId="134"/>
    <tableColumn id="55" xr3:uid="{0370FE52-3693-4398-AE6B-2520E9474FBE}" name="UIVA_x000a_20/denominatorOD eye9" headerRowDxfId="133" dataDxfId="132"/>
    <tableColumn id="72" xr3:uid="{19A34907-BBB9-4349-837A-2C878762EC26}" name="UIVA_x000a_20/denominatorOS eye10" headerRowDxfId="131" dataDxfId="130"/>
    <tableColumn id="33" xr3:uid="{4746B9E4-3F7B-4974-A317-AC329A8A5D5C}" name="UIVA_x000a_20/denominator_x000a_Binocular11" headerRowDxfId="129" dataDxfId="128"/>
    <tableColumn id="69" xr3:uid="{D95D50E7-96AF-42CB-83BC-F1CDF6E3A74F}" name="UNVA_x000a_20/denominatorOD eye12" headerRowDxfId="127" dataDxfId="126"/>
    <tableColumn id="70" xr3:uid="{3E66F3AC-2DFF-40FA-9B11-23107948BB08}" name="UNVA_x000a_20/denominatorOS eye13" headerRowDxfId="125" dataDxfId="124"/>
    <tableColumn id="71" xr3:uid="{B1D8CB06-10DE-429E-9BE6-6E2748E16FD5}" name="UNVA_x000a_20/denominator_x000a_Binocular14" headerRowDxfId="123" dataDxfId="122"/>
    <tableColumn id="68" xr3:uid="{45559CED-B941-4FEB-9C56-91E8B260ABED}" name="Refractive sphere_x000a_OD eye15" headerRowDxfId="121" dataDxfId="120"/>
    <tableColumn id="67" xr3:uid="{C383B564-CAED-4156-B744-580C85D5BE28}" name="Refractive  cylinder_x000a_OD eye16" headerRowDxfId="119" dataDxfId="118"/>
    <tableColumn id="66" xr3:uid="{E831ADE8-72E6-4034-BDCD-6CE80B7C4848}" name="Refractive  cylinder axis_x000a_OD eye17" headerRowDxfId="117" dataDxfId="116"/>
    <tableColumn id="65" xr3:uid="{781D2C0E-703A-41E9-9043-4B39A3275C92}" name="SEQ_x000a_OD eye18" headerRowDxfId="115" dataDxfId="114">
      <calculatedColumnFormula>IF(AND(Data4[[#This Row],[Refractive sphere
OS eye19]]="",Data4[[#This Row],[Refractive cylinder
OS eye20]]="")=TRUE,"",Data4[[#This Row],[Refractive sphere
OD eye]]+(Data4[[#This Row],[Refractive  cylinder
OD eye]]/2))</calculatedColumnFormula>
    </tableColumn>
    <tableColumn id="64" xr3:uid="{BE157413-6FBA-41C0-B7EE-1ECF723498ED}" name="Refractive sphere_x000a_OS eye19" headerRowDxfId="113" dataDxfId="112"/>
    <tableColumn id="73" xr3:uid="{85EEB3A3-A281-4105-9E66-125A314058B7}" name="Refractive cylinder_x000a_OS eye20" headerRowDxfId="111" dataDxfId="110"/>
    <tableColumn id="34" xr3:uid="{8B0E1D6A-E5F1-4681-8511-EC3DC2392ECF}" name="Refractive cylinder axis_x000a_OS eye21" headerRowDxfId="109" dataDxfId="108"/>
    <tableColumn id="74" xr3:uid="{5045B12C-F786-4770-9DFF-2EBAA7925399}" name="SEQ_x000a_OS eye22" headerRowDxfId="107" dataDxfId="106">
      <calculatedColumnFormula>IF(AND(Data4[[#This Row],[Refractive sphere
OS eye19]]="",Data4[[#This Row],[Refractive cylinder
OS eye20]]="")=TRUE,"",Data4[[#This Row],[Refractive sphere
OS eye]]+(Data4[[#This Row],[Refractive cylinder
OS eye]]/2))</calculatedColumnFormula>
    </tableColumn>
    <tableColumn id="81" xr3:uid="{C7046C5B-1624-47FC-B9A3-C4836803635E}" name="Adverse events_x000a_(if any)25" headerRowDxfId="105" dataDxfId="104"/>
    <tableColumn id="76" xr3:uid="{1903BAFB-A3DB-4BE3-A88F-9228B22BD65D}" name="PCO_x000a_(If yes, mention the eye and grade of PCO from 0-4)26" headerRowDxfId="103" dataDxfId="102"/>
    <tableColumn id="78" xr3:uid="{A4E9B355-FF69-4839-A783-A2AA94FFC6B2}" name="Glistenings _x000a_(If yes, mention the eye in which it occurred and the grade of glistenings from 1-4)27" headerRowDxfId="101" dataDxfId="100"/>
    <tableColumn id="110" xr3:uid="{71FF5FAC-54D8-423A-A6A1-CEB36B59C164}" name="Date of postop 3 months visit2" headerRowDxfId="99" dataDxfId="98"/>
    <tableColumn id="111" xr3:uid="{3B08C6A8-9436-4C9D-994E-C8A5302AC0D9}" name="UDVA_x000a_20/denominator_x000a_OD eye33" headerRowDxfId="97" dataDxfId="96"/>
    <tableColumn id="112" xr3:uid="{C62E7633-8D3B-444E-A423-06C18F7CE255}" name="UDVA_x000a_20/denominator_x000a_OS eye44" headerRowDxfId="95" dataDxfId="94"/>
    <tableColumn id="107" xr3:uid="{52015C1B-11AE-4706-A0E2-7B5DCA80F4C6}" name="UDVA_x000a_20/denominator_x000a_Binocular55" headerRowDxfId="93" dataDxfId="92"/>
    <tableColumn id="108" xr3:uid="{E68C1E28-F087-4B97-B81A-951143609F73}" name="CDVA_x000a_20/denominatorOD eye66" headerRowDxfId="91" dataDxfId="90"/>
    <tableColumn id="109" xr3:uid="{90200D80-0BF6-476E-A219-88E30B016A69}" name="CDVA_x000a_20/denominatorOS eye77" headerRowDxfId="89" dataDxfId="88"/>
    <tableColumn id="101" xr3:uid="{2D296FD9-7B98-4519-8510-1D7C540C123A}" name="CDVA_x000a_20/denominator_x000a_Binocular88" headerRowDxfId="87" dataDxfId="86"/>
    <tableColumn id="105" xr3:uid="{85E077A4-CA08-4F03-AE72-C5AB30F1F74E}" name="UIVA_x000a_20/denominatorOD eye99" headerRowDxfId="85" dataDxfId="84"/>
    <tableColumn id="106" xr3:uid="{F231ACD3-59CB-425A-8AB4-72C7ACC43953}" name="UIVA_x000a_20/denominatorOS eye1010" headerRowDxfId="83" dataDxfId="82"/>
    <tableColumn id="86" xr3:uid="{DC1C2D17-BDBB-4FC0-B7B9-6E126827F5F3}" name="UIVA_x000a_20/denominator_x000a_Binocular1111" headerRowDxfId="81" dataDxfId="80"/>
    <tableColumn id="120" xr3:uid="{B25F2D58-BA7D-4BE2-9CCC-31DDCB63F572}" name="UNVA_x000a_20/denominatorOD eye1212" headerRowDxfId="79" dataDxfId="78"/>
    <tableColumn id="121" xr3:uid="{B2969910-C47D-4D70-B8E9-4DDF7D8E45DF}" name="UNVA_x000a_20/denominatorOS eye1313" headerRowDxfId="77" dataDxfId="76"/>
    <tableColumn id="122" xr3:uid="{BE581405-4A87-45CA-9937-9045F432EB1D}" name="UNVA_x000a_20/denominator_x000a_Binocular1414" headerRowDxfId="75" dataDxfId="74"/>
    <tableColumn id="123" xr3:uid="{A7B2E618-9372-4315-B1BD-2AEEAF3D1C05}" name="Refractive sphere_x000a_OD eye1515" headerRowDxfId="73" dataDxfId="72"/>
    <tableColumn id="124" xr3:uid="{513F17DA-300F-41EE-9C5D-1EE72691738F}" name="Refractive  cylinder_x000a_OD eye1616" headerRowDxfId="71" dataDxfId="70"/>
    <tableColumn id="125" xr3:uid="{864A1033-0EA1-47E9-9D17-E97ADA38C5AC}" name="Refractive  cylinder axis_x000a_OD eye1717" headerRowDxfId="69" dataDxfId="68"/>
    <tableColumn id="126" xr3:uid="{C06A745E-ACA6-4D2A-8FA4-79C7A33EDA7C}" name="SEQ_x000a_OD eye1818" headerRowDxfId="67" dataDxfId="66">
      <calculatedColumnFormula>IF(AND(Data4[[#This Row],[Refractive sphere
OD eye1515]]="",Data4[[#This Row],[Refractive  cylinder
OD eye1616]]="")=TRUE,"",Data4[[#This Row],[Refractive sphere
OD eye1515]]+(Data4[[#This Row],[Refractive  cylinder
OD eye1616]]/2))</calculatedColumnFormula>
    </tableColumn>
    <tableColumn id="113" xr3:uid="{56016FF1-407B-4487-906F-078587B35C9B}" name="Refractive sphere_x000a_OS eye1919" headerRowDxfId="65" dataDxfId="64"/>
    <tableColumn id="114" xr3:uid="{B7C019B6-5C11-4360-A118-DEE6681B462A}" name="Refractive cylinder_x000a_OS eye2020" headerRowDxfId="63" dataDxfId="62"/>
    <tableColumn id="115" xr3:uid="{85CCBC2E-1565-4D63-A356-78B244595BAE}" name="Refractive cylinder axis_x000a_OS eye2121" headerRowDxfId="61" dataDxfId="60"/>
    <tableColumn id="116" xr3:uid="{F80776F2-28D4-4528-B94E-B571A547EB4B}" name="SEQ_x000a_OS eye2222" headerRowDxfId="59" dataDxfId="58">
      <calculatedColumnFormula>IF(AND(Data4[[#This Row],[Refractive sphere
OS eye1919]]="",Data4[[#This Row],[Refractive cylinder
OS eye2020]]="")=TRUE,"",Data4[[#This Row],[Refractive sphere
OS eye1919]]+(Data4[[#This Row],[Refractive cylinder
OS eye2020]]/2))</calculatedColumnFormula>
    </tableColumn>
    <tableColumn id="119" xr3:uid="{CD58D8C0-6546-4CE6-BD94-DF52D86B6D63}" name="Adverse events_x000a_(if any)2525" headerRowDxfId="57" dataDxfId="56"/>
    <tableColumn id="87" xr3:uid="{3967E630-C6E0-40BA-83D0-2DE7B58904FC}" name="PCO_x000a_(If yes, mention the eye and grade of PCO from 0-4)2626" headerRowDxfId="55" dataDxfId="54"/>
    <tableColumn id="100" xr3:uid="{08C5E5DB-373E-4BA5-AB77-3AF02C27CE2D}" name="Glistenings _x000a_(If yes, mention the eye in which it occurred and the grade of glistenings from 1-4)2727" headerRowDxfId="53" dataDxfId="52"/>
    <tableColumn id="12" xr3:uid="{C72AB57A-2E7D-4A12-AE8C-300FC7DB5903}" name="Include (Y/N)" headerRowDxfId="51" dataDxfId="50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="UDVA 20/Denominator OD ey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AE528-0349-4BBC-8AC6-6076D282B9FB}" name="Data2" displayName="Data2" ref="E6:P27" totalsRowShown="0" headerRowDxfId="26" dataDxfId="25" tableBorderDxfId="24">
  <autoFilter ref="E6:P27" xr:uid="{A13FCEAC-74ED-4043-8947-FCC6F120BC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59348F4-836D-4802-9333-DDF8114146C8}" name="IOL Power" dataDxfId="23"/>
    <tableColumn id="2" xr3:uid="{6D862F11-D3D2-45D5-AA8D-5A29A53CDEB8}" name="Lens Type" dataDxfId="22"/>
    <tableColumn id="3" xr3:uid="{91A877DB-4B2D-4286-8FC4-64709AC6DB37}" name="Patient Identifier" dataDxfId="21"/>
    <tableColumn id="4" xr3:uid="{F96D519B-BACF-4D4D-A604-02F63F627F8D}" name="Est. Date Of Service" dataDxfId="20"/>
    <tableColumn id="5" xr3:uid="{DA9A53F8-E6F8-4773-8314-F2FA2CFDE15E}" name="Eye (OD/OS)" dataDxfId="19"/>
    <tableColumn id="6" xr3:uid="{8A7404A1-6562-401F-BE66-62056B7E6D79}" name="SEQ Target" dataDxfId="18"/>
    <tableColumn id="7" xr3:uid="{0C3AF4F7-A50B-4872-8B99-3CF25E26EDDD}" name="BCDVA" dataDxfId="17"/>
    <tableColumn id="8" xr3:uid="{02CA19DC-20E1-41D6-B78E-46C8F6D5D1DF}" name="UCDVA" dataDxfId="16"/>
    <tableColumn id="9" xr3:uid="{B2511E8B-7C59-4E65-B604-694F525B50A1}" name="UCIVA" dataDxfId="15"/>
    <tableColumn id="10" xr3:uid="{49DBA1DA-A526-4F69-86DC-80EB6B84B1F5}" name="UCNVA" dataDxfId="14"/>
    <tableColumn id="11" xr3:uid="{EFB69308-62E7-4AA2-9E41-F095167DC61E}" name="SEQ Outcome" dataDxfId="13"/>
    <tableColumn id="12" xr3:uid="{D38B6F8D-E64F-4146-B17D-5BE12E8928E3}" name="Include (Y/N)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86C-A074-42C0-9CB9-71F6D6F98D2B}">
  <sheetPr codeName="Sheet2">
    <outlinePr showOutlineSymbols="0"/>
    <pageSetUpPr fitToPage="1"/>
  </sheetPr>
  <dimension ref="A1:XFC39"/>
  <sheetViews>
    <sheetView showGridLines="0" showOutlineSymbols="0" topLeftCell="I1" zoomScale="120" zoomScaleNormal="120" workbookViewId="0">
      <selection activeCell="U7" sqref="U7"/>
    </sheetView>
  </sheetViews>
  <sheetFormatPr baseColWidth="10" defaultColWidth="0" defaultRowHeight="16" outlineLevelCol="1" x14ac:dyDescent="0.45"/>
  <cols>
    <col min="1" max="1" width="8.54296875" style="57" customWidth="1" outlineLevel="1"/>
    <col min="2" max="2" width="2.453125" style="5" customWidth="1"/>
    <col min="3" max="3" width="1.54296875" style="5" customWidth="1"/>
    <col min="4" max="4" width="3.453125" style="3" customWidth="1"/>
    <col min="5" max="5" width="9.81640625" style="20" bestFit="1" customWidth="1"/>
    <col min="6" max="6" width="13.453125" style="3" bestFit="1" customWidth="1"/>
    <col min="7" max="7" width="8.54296875" style="4" bestFit="1" customWidth="1"/>
    <col min="8" max="8" width="11.1796875" style="2" bestFit="1" customWidth="1"/>
    <col min="9" max="9" width="8" style="2" bestFit="1" customWidth="1"/>
    <col min="10" max="10" width="6.453125" style="2" bestFit="1" customWidth="1"/>
    <col min="11" max="11" width="7" style="2" bestFit="1" customWidth="1"/>
    <col min="12" max="12" width="7.453125" style="2" bestFit="1" customWidth="1"/>
    <col min="13" max="13" width="11.453125" style="2" bestFit="1" customWidth="1"/>
    <col min="14" max="14" width="7" style="2" bestFit="1" customWidth="1"/>
    <col min="15" max="15" width="7.1796875" style="2" bestFit="1" customWidth="1"/>
    <col min="16" max="16" width="6.453125" style="5" bestFit="1" customWidth="1"/>
    <col min="17" max="17" width="7.453125" style="5" bestFit="1" customWidth="1"/>
    <col min="18" max="18" width="9" style="5" bestFit="1" customWidth="1"/>
    <col min="19" max="19" width="9.453125" style="5" bestFit="1" customWidth="1"/>
    <col min="20" max="20" width="8.1796875" style="5" bestFit="1" customWidth="1"/>
    <col min="21" max="21" width="7" style="5" bestFit="1" customWidth="1"/>
    <col min="22" max="25" width="13.54296875" style="5" customWidth="1"/>
    <col min="26" max="16383" width="9.1796875" style="5" hidden="1"/>
    <col min="16384" max="16384" width="2.81640625" style="5" customWidth="1"/>
  </cols>
  <sheetData>
    <row r="1" spans="1:26" ht="12" customHeight="1" thickBot="1" x14ac:dyDescent="0.5"/>
    <row r="2" spans="1:26" ht="15" customHeight="1" x14ac:dyDescent="0.45">
      <c r="Y2" s="192" t="s">
        <v>0</v>
      </c>
    </row>
    <row r="3" spans="1:26" ht="14.25" customHeight="1" x14ac:dyDescent="0.45">
      <c r="Y3" s="193"/>
    </row>
    <row r="4" spans="1:26" x14ac:dyDescent="0.45">
      <c r="Y4" s="193"/>
    </row>
    <row r="5" spans="1:26" ht="16.5" thickBot="1" x14ac:dyDescent="0.5">
      <c r="G5" s="6"/>
      <c r="Y5" s="193"/>
    </row>
    <row r="6" spans="1:26" s="13" customFormat="1" ht="48.5" thickBot="1" x14ac:dyDescent="0.4">
      <c r="A6" s="55" t="s">
        <v>1</v>
      </c>
      <c r="B6" s="51"/>
      <c r="C6" s="51"/>
      <c r="D6" s="7"/>
      <c r="E6" s="66" t="s">
        <v>2</v>
      </c>
      <c r="F6" s="21" t="s">
        <v>3</v>
      </c>
      <c r="G6" s="8" t="s">
        <v>4</v>
      </c>
      <c r="H6" s="9" t="s">
        <v>5</v>
      </c>
      <c r="I6" s="10" t="s">
        <v>6</v>
      </c>
      <c r="J6" s="10" t="s">
        <v>7</v>
      </c>
      <c r="K6" s="10" t="s">
        <v>8</v>
      </c>
      <c r="L6" s="10" t="s">
        <v>9</v>
      </c>
      <c r="M6" s="10" t="s">
        <v>10</v>
      </c>
      <c r="N6" s="11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1" t="s">
        <v>16</v>
      </c>
      <c r="T6" s="102" t="s">
        <v>17</v>
      </c>
      <c r="U6" s="12" t="s">
        <v>18</v>
      </c>
      <c r="V6" s="85" t="s">
        <v>19</v>
      </c>
      <c r="W6" s="84" t="s">
        <v>1</v>
      </c>
      <c r="X6" s="100" t="s">
        <v>20</v>
      </c>
      <c r="Y6" s="99" t="s">
        <v>21</v>
      </c>
      <c r="Z6" s="51"/>
    </row>
    <row r="7" spans="1:26" x14ac:dyDescent="0.45">
      <c r="A7" s="58" t="str">
        <f>Data[[#This Row],[Patient Identifier]]&amp;Data[[#This Row],[Eye (OD/OS)]]</f>
        <v>99999OD</v>
      </c>
      <c r="B7" s="50"/>
      <c r="C7" s="50"/>
      <c r="D7" s="14" t="s">
        <v>22</v>
      </c>
      <c r="E7" s="67" t="s">
        <v>23</v>
      </c>
      <c r="F7" s="22" t="s">
        <v>24</v>
      </c>
      <c r="G7" s="15" t="s">
        <v>25</v>
      </c>
      <c r="H7" s="16">
        <v>43831</v>
      </c>
      <c r="I7" s="17" t="s">
        <v>26</v>
      </c>
      <c r="J7" s="80">
        <v>-0.5</v>
      </c>
      <c r="K7" s="80">
        <v>44.5</v>
      </c>
      <c r="L7" s="80">
        <v>45</v>
      </c>
      <c r="M7" s="80">
        <f>ABS(Data[[#This Row],[Pre-Op Steep K]]-Data[[#This Row],[Pre Op Flat K]])</f>
        <v>0.5</v>
      </c>
      <c r="N7" s="17" t="s">
        <v>27</v>
      </c>
      <c r="O7" s="17" t="s">
        <v>28</v>
      </c>
      <c r="P7" s="17" t="s">
        <v>27</v>
      </c>
      <c r="Q7" s="17" t="s">
        <v>29</v>
      </c>
      <c r="R7" s="80">
        <v>-0.25</v>
      </c>
      <c r="S7" s="17">
        <v>0.05</v>
      </c>
      <c r="T7" s="103"/>
      <c r="U7" s="18" t="s">
        <v>30</v>
      </c>
      <c r="V7" s="96">
        <f>IF(X7=-1,(Data[[#This Row],[SEQ Target]]-Data[[#This Row],[SEQ Outcome]])*X7,ABS((Data[[#This Row],[SEQ Target]]-Data[[#This Row],[SEQ Outcome]])*X7))</f>
        <v>0.25</v>
      </c>
      <c r="W7" s="97">
        <f>IF(AND(Data[[#This Row],[Patient Identifier]]&lt;&gt;"Enter ID",Data[[#This Row],[Include (Y/N)]]="Yes"),1,0)</f>
        <v>0</v>
      </c>
      <c r="X7" s="50">
        <f>IF(Data[[#This Row],[SEQ Outcome]]&lt;Data[[#This Row],[SEQ Target]],-1,1)</f>
        <v>1</v>
      </c>
      <c r="Y7" s="75" t="s">
        <v>31</v>
      </c>
      <c r="Z7" s="94"/>
    </row>
    <row r="8" spans="1:26" x14ac:dyDescent="0.45">
      <c r="A8" s="58" t="str">
        <f>Data[[#This Row],[Patient Identifier]]&amp;Data[[#This Row],[Eye (OD/OS)]]</f>
        <v/>
      </c>
      <c r="B8" s="50"/>
      <c r="C8" s="50"/>
      <c r="D8" s="2"/>
      <c r="E8" s="68"/>
      <c r="F8" s="28"/>
      <c r="G8" s="74"/>
      <c r="H8" s="30"/>
      <c r="I8" s="31"/>
      <c r="J8" s="81"/>
      <c r="K8" s="81"/>
      <c r="L8" s="81"/>
      <c r="M8" s="122">
        <f>ABS(Data[[#This Row],[Pre-Op Steep K]]-Data[[#This Row],[Pre Op Flat K]])</f>
        <v>0</v>
      </c>
      <c r="N8" s="31"/>
      <c r="O8" s="31"/>
      <c r="P8" s="31"/>
      <c r="Q8" s="31"/>
      <c r="R8" s="81"/>
      <c r="S8" s="31"/>
      <c r="T8" s="104"/>
      <c r="U8" s="32"/>
      <c r="V8" s="93">
        <f>IF(X8=-1,(Data[[#This Row],[SEQ Target]]-Data[[#This Row],[SEQ Outcome]])*X8,ABS((Data[[#This Row],[SEQ Target]]-Data[[#This Row],[SEQ Outcome]])*X8))</f>
        <v>0</v>
      </c>
      <c r="W8" s="2">
        <f>IF(AND(Data[[#This Row],[Patient Identifier]]&lt;&gt;"Enter ID",Data[[#This Row],[Include (Y/N)]]="Yes"),1,0)</f>
        <v>0</v>
      </c>
      <c r="X8" s="50">
        <f>IF(Data[[#This Row],[SEQ Outcome]]&lt;Data[[#This Row],[SEQ Target]],-1,1)</f>
        <v>1</v>
      </c>
      <c r="Y8" s="75" t="s">
        <v>32</v>
      </c>
      <c r="Z8" s="94"/>
    </row>
    <row r="9" spans="1:26" x14ac:dyDescent="0.45">
      <c r="A9" s="58" t="str">
        <f>Data[[#This Row],[Patient Identifier]]&amp;Data[[#This Row],[Eye (OD/OS)]]</f>
        <v/>
      </c>
      <c r="B9" s="50"/>
      <c r="C9" s="50"/>
      <c r="D9" s="2"/>
      <c r="E9" s="68"/>
      <c r="F9" s="28"/>
      <c r="G9" s="74"/>
      <c r="H9" s="30"/>
      <c r="I9" s="31"/>
      <c r="J9" s="81"/>
      <c r="K9" s="81"/>
      <c r="L9" s="81"/>
      <c r="M9" s="122">
        <f>ABS(Data[[#This Row],[Pre-Op Steep K]]-Data[[#This Row],[Pre Op Flat K]])</f>
        <v>0</v>
      </c>
      <c r="N9" s="31"/>
      <c r="O9" s="31"/>
      <c r="P9" s="31"/>
      <c r="Q9" s="31"/>
      <c r="R9" s="81"/>
      <c r="S9" s="31"/>
      <c r="T9" s="104"/>
      <c r="U9" s="32"/>
      <c r="V9" s="93">
        <f>IF(X9=-1,(Data[[#This Row],[SEQ Target]]-Data[[#This Row],[SEQ Outcome]])*X9,ABS((Data[[#This Row],[SEQ Target]]-Data[[#This Row],[SEQ Outcome]])*X9))</f>
        <v>0</v>
      </c>
      <c r="W9" s="2">
        <f>IF(AND(Data[[#This Row],[Patient Identifier]]&lt;&gt;"Enter ID",Data[[#This Row],[Include (Y/N)]]="Yes"),1,0)</f>
        <v>0</v>
      </c>
      <c r="X9" s="50">
        <f>IF(Data[[#This Row],[SEQ Outcome]]&lt;Data[[#This Row],[SEQ Target]],-1,1)</f>
        <v>1</v>
      </c>
      <c r="Y9" s="75" t="s">
        <v>33</v>
      </c>
      <c r="Z9" s="94"/>
    </row>
    <row r="10" spans="1:26" x14ac:dyDescent="0.45">
      <c r="A10" s="58" t="str">
        <f>Data[[#This Row],[Patient Identifier]]&amp;Data[[#This Row],[Eye (OD/OS)]]</f>
        <v/>
      </c>
      <c r="B10" s="50"/>
      <c r="C10" s="50"/>
      <c r="D10" s="2"/>
      <c r="E10" s="68"/>
      <c r="F10" s="28"/>
      <c r="G10" s="74"/>
      <c r="H10" s="30"/>
      <c r="I10" s="31"/>
      <c r="J10" s="81"/>
      <c r="K10" s="81"/>
      <c r="L10" s="81"/>
      <c r="M10" s="122">
        <f>ABS(Data[[#This Row],[Pre-Op Steep K]]-Data[[#This Row],[Pre Op Flat K]])</f>
        <v>0</v>
      </c>
      <c r="N10" s="31"/>
      <c r="O10" s="31"/>
      <c r="P10" s="31"/>
      <c r="Q10" s="31"/>
      <c r="R10" s="81"/>
      <c r="S10" s="31"/>
      <c r="T10" s="104"/>
      <c r="U10" s="32"/>
      <c r="V10" s="93">
        <f>IF(X10=-1,(Data[[#This Row],[SEQ Target]]-Data[[#This Row],[SEQ Outcome]])*X10,ABS((Data[[#This Row],[SEQ Target]]-Data[[#This Row],[SEQ Outcome]])*X10))</f>
        <v>0</v>
      </c>
      <c r="W10" s="2">
        <f>IF(AND(Data[[#This Row],[Patient Identifier]]&lt;&gt;"Enter ID",Data[[#This Row],[Include (Y/N)]]="Yes"),1,0)</f>
        <v>0</v>
      </c>
      <c r="X10" s="50">
        <f>IF(Data[[#This Row],[SEQ Outcome]]&lt;Data[[#This Row],[SEQ Target]],-1,1)</f>
        <v>1</v>
      </c>
      <c r="Y10" s="75" t="s">
        <v>34</v>
      </c>
      <c r="Z10" s="94"/>
    </row>
    <row r="11" spans="1:26" x14ac:dyDescent="0.45">
      <c r="A11" s="58" t="str">
        <f>Data[[#This Row],[Patient Identifier]]&amp;Data[[#This Row],[Eye (OD/OS)]]</f>
        <v/>
      </c>
      <c r="B11" s="50"/>
      <c r="C11" s="50"/>
      <c r="D11" s="2"/>
      <c r="E11" s="68"/>
      <c r="F11" s="28"/>
      <c r="G11" s="74"/>
      <c r="H11" s="30"/>
      <c r="I11" s="31"/>
      <c r="J11" s="81"/>
      <c r="K11" s="81"/>
      <c r="L11" s="81"/>
      <c r="M11" s="122">
        <f>ABS(Data[[#This Row],[Pre-Op Steep K]]-Data[[#This Row],[Pre Op Flat K]])</f>
        <v>0</v>
      </c>
      <c r="N11" s="31"/>
      <c r="O11" s="31"/>
      <c r="P11" s="31"/>
      <c r="Q11" s="31"/>
      <c r="R11" s="81"/>
      <c r="S11" s="31"/>
      <c r="T11" s="104"/>
      <c r="U11" s="32"/>
      <c r="V11" s="93">
        <f>IF(X11=-1,(Data[[#This Row],[SEQ Target]]-Data[[#This Row],[SEQ Outcome]])*X11,ABS((Data[[#This Row],[SEQ Target]]-Data[[#This Row],[SEQ Outcome]])*X11))</f>
        <v>0</v>
      </c>
      <c r="W11" s="2">
        <f>IF(AND(Data[[#This Row],[Patient Identifier]]&lt;&gt;"Enter ID",Data[[#This Row],[Include (Y/N)]]="Yes"),1,0)</f>
        <v>0</v>
      </c>
      <c r="X11" s="50">
        <f>IF(Data[[#This Row],[SEQ Outcome]]&lt;Data[[#This Row],[SEQ Target]],-1,1)</f>
        <v>1</v>
      </c>
      <c r="Y11" s="76" t="s">
        <v>35</v>
      </c>
      <c r="Z11" s="94"/>
    </row>
    <row r="12" spans="1:26" x14ac:dyDescent="0.45">
      <c r="A12" s="58" t="str">
        <f>Data[[#This Row],[Patient Identifier]]&amp;Data[[#This Row],[Eye (OD/OS)]]</f>
        <v/>
      </c>
      <c r="B12" s="50"/>
      <c r="C12" s="50"/>
      <c r="D12" s="2"/>
      <c r="E12" s="68"/>
      <c r="F12" s="28"/>
      <c r="G12" s="74"/>
      <c r="H12" s="30"/>
      <c r="I12" s="31"/>
      <c r="J12" s="81"/>
      <c r="K12" s="81"/>
      <c r="L12" s="81"/>
      <c r="M12" s="122">
        <f>ABS(Data[[#This Row],[Pre-Op Steep K]]-Data[[#This Row],[Pre Op Flat K]])</f>
        <v>0</v>
      </c>
      <c r="N12" s="31"/>
      <c r="O12" s="31"/>
      <c r="P12" s="31"/>
      <c r="Q12" s="31"/>
      <c r="R12" s="81"/>
      <c r="S12" s="31"/>
      <c r="T12" s="104"/>
      <c r="U12" s="32"/>
      <c r="V12" s="93">
        <f>IF(X12=-1,(Data[[#This Row],[SEQ Target]]-Data[[#This Row],[SEQ Outcome]])*X12,ABS((Data[[#This Row],[SEQ Target]]-Data[[#This Row],[SEQ Outcome]])*X12))</f>
        <v>0</v>
      </c>
      <c r="W12" s="2">
        <f>IF(AND(Data[[#This Row],[Patient Identifier]]&lt;&gt;"Enter ID",Data[[#This Row],[Include (Y/N)]]="Yes"),1,0)</f>
        <v>0</v>
      </c>
      <c r="X12" s="50">
        <f>IF(Data[[#This Row],[SEQ Outcome]]&lt;Data[[#This Row],[SEQ Target]],-1,1)</f>
        <v>1</v>
      </c>
      <c r="Y12" s="75" t="s">
        <v>36</v>
      </c>
      <c r="Z12" s="94"/>
    </row>
    <row r="13" spans="1:26" x14ac:dyDescent="0.45">
      <c r="A13" s="58" t="str">
        <f>Data[[#This Row],[Patient Identifier]]&amp;Data[[#This Row],[Eye (OD/OS)]]</f>
        <v/>
      </c>
      <c r="B13" s="50"/>
      <c r="C13" s="50"/>
      <c r="D13" s="2"/>
      <c r="E13" s="68"/>
      <c r="F13" s="28"/>
      <c r="G13" s="74"/>
      <c r="H13" s="30"/>
      <c r="I13" s="31"/>
      <c r="J13" s="81"/>
      <c r="K13" s="81"/>
      <c r="L13" s="81"/>
      <c r="M13" s="122">
        <f>ABS(Data[[#This Row],[Pre-Op Steep K]]-Data[[#This Row],[Pre Op Flat K]])</f>
        <v>0</v>
      </c>
      <c r="N13" s="31"/>
      <c r="O13" s="31"/>
      <c r="P13" s="31"/>
      <c r="Q13" s="31"/>
      <c r="R13" s="81"/>
      <c r="S13" s="31"/>
      <c r="T13" s="104"/>
      <c r="U13" s="32"/>
      <c r="V13" s="93">
        <f>IF(X13=-1,(Data[[#This Row],[SEQ Target]]-Data[[#This Row],[SEQ Outcome]])*X13,ABS((Data[[#This Row],[SEQ Target]]-Data[[#This Row],[SEQ Outcome]])*X13))</f>
        <v>0</v>
      </c>
      <c r="W13" s="2">
        <f>IF(AND(Data[[#This Row],[Patient Identifier]]&lt;&gt;"Enter ID",Data[[#This Row],[Include (Y/N)]]="Yes"),1,0)</f>
        <v>0</v>
      </c>
      <c r="X13" s="50">
        <f>IF(Data[[#This Row],[SEQ Outcome]]&lt;Data[[#This Row],[SEQ Target]],-1,1)</f>
        <v>1</v>
      </c>
      <c r="Y13" s="77" t="s">
        <v>37</v>
      </c>
      <c r="Z13" s="94"/>
    </row>
    <row r="14" spans="1:26" x14ac:dyDescent="0.45">
      <c r="A14" s="58" t="str">
        <f>Data[[#This Row],[Patient Identifier]]&amp;Data[[#This Row],[Eye (OD/OS)]]</f>
        <v/>
      </c>
      <c r="B14" s="50"/>
      <c r="C14" s="50"/>
      <c r="D14" s="2"/>
      <c r="E14" s="68"/>
      <c r="F14" s="28"/>
      <c r="G14" s="74"/>
      <c r="H14" s="30"/>
      <c r="I14" s="31"/>
      <c r="J14" s="81"/>
      <c r="K14" s="81"/>
      <c r="L14" s="81"/>
      <c r="M14" s="122">
        <f>ABS(Data[[#This Row],[Pre-Op Steep K]]-Data[[#This Row],[Pre Op Flat K]])</f>
        <v>0</v>
      </c>
      <c r="N14" s="31"/>
      <c r="O14" s="31"/>
      <c r="P14" s="31"/>
      <c r="Q14" s="31"/>
      <c r="R14" s="81"/>
      <c r="S14" s="31"/>
      <c r="T14" s="104"/>
      <c r="U14" s="32"/>
      <c r="V14" s="93">
        <f>IF(X14=-1,(Data[[#This Row],[SEQ Target]]-Data[[#This Row],[SEQ Outcome]])*X14,ABS((Data[[#This Row],[SEQ Target]]-Data[[#This Row],[SEQ Outcome]])*X14))</f>
        <v>0</v>
      </c>
      <c r="W14" s="2">
        <f>IF(AND(Data[[#This Row],[Patient Identifier]]&lt;&gt;"Enter ID",Data[[#This Row],[Include (Y/N)]]="Yes"),1,0)</f>
        <v>0</v>
      </c>
      <c r="X14" s="50">
        <f>IF(Data[[#This Row],[SEQ Outcome]]&lt;Data[[#This Row],[SEQ Target]],-1,1)</f>
        <v>1</v>
      </c>
      <c r="Y14" s="75" t="s">
        <v>38</v>
      </c>
      <c r="Z14" s="94"/>
    </row>
    <row r="15" spans="1:26" x14ac:dyDescent="0.45">
      <c r="A15" s="58" t="str">
        <f>Data[[#This Row],[Patient Identifier]]&amp;Data[[#This Row],[Eye (OD/OS)]]</f>
        <v/>
      </c>
      <c r="B15" s="50"/>
      <c r="C15" s="50"/>
      <c r="D15" s="2"/>
      <c r="E15" s="68"/>
      <c r="F15" s="28"/>
      <c r="G15" s="74"/>
      <c r="H15" s="30"/>
      <c r="I15" s="31"/>
      <c r="J15" s="81"/>
      <c r="K15" s="81"/>
      <c r="L15" s="81"/>
      <c r="M15" s="122">
        <f>ABS(Data[[#This Row],[Pre-Op Steep K]]-Data[[#This Row],[Pre Op Flat K]])</f>
        <v>0</v>
      </c>
      <c r="N15" s="31"/>
      <c r="O15" s="31"/>
      <c r="P15" s="31"/>
      <c r="Q15" s="31"/>
      <c r="R15" s="81"/>
      <c r="S15" s="31"/>
      <c r="T15" s="104"/>
      <c r="U15" s="32"/>
      <c r="V15" s="93">
        <f>IF(X15=-1,(Data[[#This Row],[SEQ Target]]-Data[[#This Row],[SEQ Outcome]])*X15,ABS((Data[[#This Row],[SEQ Target]]-Data[[#This Row],[SEQ Outcome]])*X15))</f>
        <v>0</v>
      </c>
      <c r="W15" s="2">
        <f>IF(AND(Data[[#This Row],[Patient Identifier]]&lt;&gt;"Enter ID",Data[[#This Row],[Include (Y/N)]]="Yes"),1,0)</f>
        <v>0</v>
      </c>
      <c r="X15" s="50">
        <f>IF(Data[[#This Row],[SEQ Outcome]]&lt;Data[[#This Row],[SEQ Target]],-1,1)</f>
        <v>1</v>
      </c>
      <c r="Y15" s="75" t="s">
        <v>39</v>
      </c>
      <c r="Z15" s="94"/>
    </row>
    <row r="16" spans="1:26" x14ac:dyDescent="0.45">
      <c r="A16" s="58" t="str">
        <f>Data[[#This Row],[Patient Identifier]]&amp;Data[[#This Row],[Eye (OD/OS)]]</f>
        <v/>
      </c>
      <c r="B16" s="50"/>
      <c r="C16" s="50"/>
      <c r="D16" s="2"/>
      <c r="E16" s="68"/>
      <c r="F16" s="28"/>
      <c r="G16" s="74"/>
      <c r="H16" s="30"/>
      <c r="I16" s="31"/>
      <c r="J16" s="81"/>
      <c r="K16" s="81"/>
      <c r="L16" s="81"/>
      <c r="M16" s="122">
        <f>ABS(Data[[#This Row],[Pre-Op Steep K]]-Data[[#This Row],[Pre Op Flat K]])</f>
        <v>0</v>
      </c>
      <c r="N16" s="31"/>
      <c r="O16" s="31"/>
      <c r="P16" s="31"/>
      <c r="Q16" s="31"/>
      <c r="R16" s="81"/>
      <c r="S16" s="31"/>
      <c r="T16" s="104"/>
      <c r="U16" s="32"/>
      <c r="V16" s="93">
        <f>IF(X16=-1,(Data[[#This Row],[SEQ Target]]-Data[[#This Row],[SEQ Outcome]])*X16,ABS((Data[[#This Row],[SEQ Target]]-Data[[#This Row],[SEQ Outcome]])*X16))</f>
        <v>0</v>
      </c>
      <c r="W16" s="2">
        <f>IF(AND(Data[[#This Row],[Patient Identifier]]&lt;&gt;"Enter ID",Data[[#This Row],[Include (Y/N)]]="Yes"),1,0)</f>
        <v>0</v>
      </c>
      <c r="X16" s="50">
        <f>IF(Data[[#This Row],[SEQ Outcome]]&lt;Data[[#This Row],[SEQ Target]],-1,1)</f>
        <v>1</v>
      </c>
      <c r="Y16" s="75" t="s">
        <v>40</v>
      </c>
      <c r="Z16" s="94"/>
    </row>
    <row r="17" spans="1:26" x14ac:dyDescent="0.45">
      <c r="A17" s="58" t="str">
        <f>Data[[#This Row],[Patient Identifier]]&amp;Data[[#This Row],[Eye (OD/OS)]]</f>
        <v/>
      </c>
      <c r="B17" s="50"/>
      <c r="C17" s="50"/>
      <c r="D17" s="2"/>
      <c r="E17" s="68"/>
      <c r="F17" s="28"/>
      <c r="G17" s="74"/>
      <c r="H17" s="30"/>
      <c r="I17" s="31"/>
      <c r="J17" s="81"/>
      <c r="K17" s="81"/>
      <c r="L17" s="81"/>
      <c r="M17" s="122">
        <f>ABS(Data[[#This Row],[Pre-Op Steep K]]-Data[[#This Row],[Pre Op Flat K]])</f>
        <v>0</v>
      </c>
      <c r="N17" s="31"/>
      <c r="O17" s="31"/>
      <c r="P17" s="31"/>
      <c r="Q17" s="31"/>
      <c r="R17" s="81"/>
      <c r="S17" s="31"/>
      <c r="T17" s="104"/>
      <c r="U17" s="32"/>
      <c r="V17" s="93">
        <f>IF(X17=-1,(Data[[#This Row],[SEQ Target]]-Data[[#This Row],[SEQ Outcome]])*X17,ABS((Data[[#This Row],[SEQ Target]]-Data[[#This Row],[SEQ Outcome]])*X17))</f>
        <v>0</v>
      </c>
      <c r="W17" s="2">
        <f>IF(AND(Data[[#This Row],[Patient Identifier]]&lt;&gt;"Enter ID",Data[[#This Row],[Include (Y/N)]]="Yes"),1,0)</f>
        <v>0</v>
      </c>
      <c r="X17" s="50">
        <f>IF(Data[[#This Row],[SEQ Outcome]]&lt;Data[[#This Row],[SEQ Target]],-1,1)</f>
        <v>1</v>
      </c>
      <c r="Y17" s="75" t="s">
        <v>41</v>
      </c>
      <c r="Z17" s="94"/>
    </row>
    <row r="18" spans="1:26" x14ac:dyDescent="0.45">
      <c r="A18" s="58" t="str">
        <f>Data[[#This Row],[Patient Identifier]]&amp;Data[[#This Row],[Eye (OD/OS)]]</f>
        <v/>
      </c>
      <c r="B18" s="50"/>
      <c r="C18" s="50"/>
      <c r="D18" s="2"/>
      <c r="E18" s="68"/>
      <c r="F18" s="28"/>
      <c r="G18" s="74"/>
      <c r="H18" s="30"/>
      <c r="I18" s="31"/>
      <c r="J18" s="81"/>
      <c r="K18" s="81"/>
      <c r="L18" s="81"/>
      <c r="M18" s="122">
        <f>ABS(Data[[#This Row],[Pre-Op Steep K]]-Data[[#This Row],[Pre Op Flat K]])</f>
        <v>0</v>
      </c>
      <c r="N18" s="31"/>
      <c r="O18" s="31"/>
      <c r="P18" s="31"/>
      <c r="Q18" s="31"/>
      <c r="R18" s="81"/>
      <c r="S18" s="31"/>
      <c r="T18" s="104"/>
      <c r="U18" s="32"/>
      <c r="V18" s="93">
        <f>IF(X18=-1,(Data[[#This Row],[SEQ Target]]-Data[[#This Row],[SEQ Outcome]])*X18,ABS((Data[[#This Row],[SEQ Target]]-Data[[#This Row],[SEQ Outcome]])*X18))</f>
        <v>0</v>
      </c>
      <c r="W18" s="2">
        <f>IF(AND(Data[[#This Row],[Patient Identifier]]&lt;&gt;"Enter ID",Data[[#This Row],[Include (Y/N)]]="Yes"),1,0)</f>
        <v>0</v>
      </c>
      <c r="X18" s="50">
        <f>IF(Data[[#This Row],[SEQ Outcome]]&lt;Data[[#This Row],[SEQ Target]],-1,1)</f>
        <v>1</v>
      </c>
      <c r="Y18" s="75" t="s">
        <v>42</v>
      </c>
      <c r="Z18" s="94"/>
    </row>
    <row r="19" spans="1:26" x14ac:dyDescent="0.45">
      <c r="A19" s="58" t="str">
        <f>Data[[#This Row],[Patient Identifier]]&amp;Data[[#This Row],[Eye (OD/OS)]]</f>
        <v/>
      </c>
      <c r="B19" s="50"/>
      <c r="C19" s="50"/>
      <c r="D19" s="2"/>
      <c r="E19" s="68"/>
      <c r="F19" s="28"/>
      <c r="G19" s="74"/>
      <c r="H19" s="30"/>
      <c r="I19" s="31"/>
      <c r="J19" s="81"/>
      <c r="K19" s="81"/>
      <c r="L19" s="81"/>
      <c r="M19" s="122">
        <f>ABS(Data[[#This Row],[Pre-Op Steep K]]-Data[[#This Row],[Pre Op Flat K]])</f>
        <v>0</v>
      </c>
      <c r="N19" s="31"/>
      <c r="O19" s="31"/>
      <c r="P19" s="31"/>
      <c r="Q19" s="31"/>
      <c r="R19" s="81"/>
      <c r="S19" s="31"/>
      <c r="T19" s="104"/>
      <c r="U19" s="32"/>
      <c r="V19" s="93">
        <f>IF(X19=-1,(Data[[#This Row],[SEQ Target]]-Data[[#This Row],[SEQ Outcome]])*X19,ABS((Data[[#This Row],[SEQ Target]]-Data[[#This Row],[SEQ Outcome]])*X19))</f>
        <v>0</v>
      </c>
      <c r="W19" s="2">
        <f>IF(AND(Data[[#This Row],[Patient Identifier]]&lt;&gt;"Enter ID",Data[[#This Row],[Include (Y/N)]]="Yes"),1,0)</f>
        <v>0</v>
      </c>
      <c r="X19" s="50">
        <f>IF(Data[[#This Row],[SEQ Outcome]]&lt;Data[[#This Row],[SEQ Target]],-1,1)</f>
        <v>1</v>
      </c>
      <c r="Y19" s="75" t="s">
        <v>43</v>
      </c>
      <c r="Z19" s="94"/>
    </row>
    <row r="20" spans="1:26" x14ac:dyDescent="0.45">
      <c r="A20" s="58" t="str">
        <f>Data[[#This Row],[Patient Identifier]]&amp;Data[[#This Row],[Eye (OD/OS)]]</f>
        <v/>
      </c>
      <c r="B20" s="50"/>
      <c r="C20" s="50"/>
      <c r="D20" s="2"/>
      <c r="E20" s="68"/>
      <c r="F20" s="28"/>
      <c r="G20" s="74"/>
      <c r="H20" s="30"/>
      <c r="I20" s="31"/>
      <c r="J20" s="81"/>
      <c r="K20" s="81"/>
      <c r="L20" s="81"/>
      <c r="M20" s="122">
        <f>ABS(Data[[#This Row],[Pre-Op Steep K]]-Data[[#This Row],[Pre Op Flat K]])</f>
        <v>0</v>
      </c>
      <c r="N20" s="31"/>
      <c r="O20" s="31"/>
      <c r="P20" s="31"/>
      <c r="Q20" s="31"/>
      <c r="R20" s="81"/>
      <c r="S20" s="31"/>
      <c r="T20" s="104"/>
      <c r="U20" s="32"/>
      <c r="V20" s="93">
        <f>IF(X20=-1,(Data[[#This Row],[SEQ Target]]-Data[[#This Row],[SEQ Outcome]])*X20,ABS((Data[[#This Row],[SEQ Target]]-Data[[#This Row],[SEQ Outcome]])*X20))</f>
        <v>0</v>
      </c>
      <c r="W20" s="2">
        <f>IF(AND(Data[[#This Row],[Patient Identifier]]&lt;&gt;"Enter ID",Data[[#This Row],[Include (Y/N)]]="Yes"),1,0)</f>
        <v>0</v>
      </c>
      <c r="X20" s="50">
        <f>IF(Data[[#This Row],[SEQ Outcome]]&lt;Data[[#This Row],[SEQ Target]],-1,1)</f>
        <v>1</v>
      </c>
      <c r="Y20" s="75"/>
      <c r="Z20" s="94"/>
    </row>
    <row r="21" spans="1:26" ht="16.5" thickBot="1" x14ac:dyDescent="0.5">
      <c r="A21" s="58" t="str">
        <f>Data[[#This Row],[Patient Identifier]]&amp;Data[[#This Row],[Eye (OD/OS)]]</f>
        <v/>
      </c>
      <c r="B21" s="50"/>
      <c r="C21" s="50"/>
      <c r="D21" s="2"/>
      <c r="E21" s="68"/>
      <c r="F21" s="28"/>
      <c r="G21" s="74"/>
      <c r="H21" s="30"/>
      <c r="I21" s="31"/>
      <c r="J21" s="81"/>
      <c r="K21" s="81"/>
      <c r="L21" s="81"/>
      <c r="M21" s="122">
        <f>ABS(Data[[#This Row],[Pre-Op Steep K]]-Data[[#This Row],[Pre Op Flat K]])</f>
        <v>0</v>
      </c>
      <c r="N21" s="31"/>
      <c r="O21" s="31"/>
      <c r="P21" s="31"/>
      <c r="Q21" s="31"/>
      <c r="R21" s="81"/>
      <c r="S21" s="31"/>
      <c r="T21" s="104"/>
      <c r="U21" s="32"/>
      <c r="V21" s="93">
        <f>IF(X21=-1,(Data[[#This Row],[SEQ Target]]-Data[[#This Row],[SEQ Outcome]])*X21,ABS((Data[[#This Row],[SEQ Target]]-Data[[#This Row],[SEQ Outcome]])*X21))</f>
        <v>0</v>
      </c>
      <c r="W21" s="2">
        <f>IF(AND(Data[[#This Row],[Patient Identifier]]&lt;&gt;"Enter ID",Data[[#This Row],[Include (Y/N)]]="Yes"),1,0)</f>
        <v>0</v>
      </c>
      <c r="X21" s="50">
        <f>IF(Data[[#This Row],[SEQ Outcome]]&lt;Data[[#This Row],[SEQ Target]],-1,1)</f>
        <v>1</v>
      </c>
      <c r="Y21" s="101"/>
      <c r="Z21" s="94"/>
    </row>
    <row r="22" spans="1:26" x14ac:dyDescent="0.45">
      <c r="A22" s="58" t="str">
        <f>Data[[#This Row],[Patient Identifier]]&amp;Data[[#This Row],[Eye (OD/OS)]]</f>
        <v/>
      </c>
      <c r="B22" s="50"/>
      <c r="C22" s="50"/>
      <c r="D22" s="2"/>
      <c r="E22" s="68"/>
      <c r="F22" s="28"/>
      <c r="G22" s="74"/>
      <c r="H22" s="30"/>
      <c r="I22" s="31"/>
      <c r="J22" s="81"/>
      <c r="K22" s="81"/>
      <c r="L22" s="81"/>
      <c r="M22" s="122">
        <f>ABS(Data[[#This Row],[Pre-Op Steep K]]-Data[[#This Row],[Pre Op Flat K]])</f>
        <v>0</v>
      </c>
      <c r="N22" s="31"/>
      <c r="O22" s="31"/>
      <c r="P22" s="31"/>
      <c r="Q22" s="31"/>
      <c r="R22" s="81"/>
      <c r="S22" s="31"/>
      <c r="T22" s="104"/>
      <c r="U22" s="32"/>
      <c r="V22" s="93">
        <f>IF(X22=-1,(Data[[#This Row],[SEQ Target]]-Data[[#This Row],[SEQ Outcome]])*X22,ABS((Data[[#This Row],[SEQ Target]]-Data[[#This Row],[SEQ Outcome]])*X22))</f>
        <v>0</v>
      </c>
      <c r="W22" s="2">
        <f>IF(AND(Data[[#This Row],[Patient Identifier]]&lt;&gt;"Enter ID",Data[[#This Row],[Include (Y/N)]]="Yes"),1,0)</f>
        <v>0</v>
      </c>
      <c r="X22" s="50">
        <f>IF(Data[[#This Row],[SEQ Outcome]]&lt;Data[[#This Row],[SEQ Target]],-1,1)</f>
        <v>1</v>
      </c>
      <c r="Z22" s="94"/>
    </row>
    <row r="23" spans="1:26" x14ac:dyDescent="0.45">
      <c r="A23" s="58" t="str">
        <f>Data[[#This Row],[Patient Identifier]]&amp;Data[[#This Row],[Eye (OD/OS)]]</f>
        <v/>
      </c>
      <c r="B23" s="50"/>
      <c r="C23" s="50"/>
      <c r="D23" s="2"/>
      <c r="E23" s="68"/>
      <c r="F23" s="28"/>
      <c r="G23" s="74"/>
      <c r="H23" s="30"/>
      <c r="I23" s="31"/>
      <c r="J23" s="81"/>
      <c r="K23" s="81"/>
      <c r="L23" s="81"/>
      <c r="M23" s="122">
        <f>ABS(Data[[#This Row],[Pre-Op Steep K]]-Data[[#This Row],[Pre Op Flat K]])</f>
        <v>0</v>
      </c>
      <c r="N23" s="31"/>
      <c r="O23" s="31"/>
      <c r="P23" s="31"/>
      <c r="Q23" s="31"/>
      <c r="R23" s="81"/>
      <c r="S23" s="31"/>
      <c r="T23" s="104"/>
      <c r="U23" s="32"/>
      <c r="V23" s="93">
        <f>IF(X23=-1,(Data[[#This Row],[SEQ Target]]-Data[[#This Row],[SEQ Outcome]])*X23,ABS((Data[[#This Row],[SEQ Target]]-Data[[#This Row],[SEQ Outcome]])*X23))</f>
        <v>0</v>
      </c>
      <c r="W23" s="2">
        <f>IF(AND(Data[[#This Row],[Patient Identifier]]&lt;&gt;"Enter ID",Data[[#This Row],[Include (Y/N)]]="Yes"),1,0)</f>
        <v>0</v>
      </c>
      <c r="X23" s="50">
        <f>IF(Data[[#This Row],[SEQ Outcome]]&lt;Data[[#This Row],[SEQ Target]],-1,1)</f>
        <v>1</v>
      </c>
      <c r="Z23" s="94"/>
    </row>
    <row r="24" spans="1:26" x14ac:dyDescent="0.45">
      <c r="A24" s="58" t="str">
        <f>Data[[#This Row],[Patient Identifier]]&amp;Data[[#This Row],[Eye (OD/OS)]]</f>
        <v/>
      </c>
      <c r="B24" s="50"/>
      <c r="C24" s="50"/>
      <c r="D24" s="2"/>
      <c r="E24" s="68"/>
      <c r="F24" s="28"/>
      <c r="G24" s="74"/>
      <c r="H24" s="30"/>
      <c r="I24" s="31"/>
      <c r="J24" s="81"/>
      <c r="K24" s="81"/>
      <c r="L24" s="81"/>
      <c r="M24" s="122">
        <f>ABS(Data[[#This Row],[Pre-Op Steep K]]-Data[[#This Row],[Pre Op Flat K]])</f>
        <v>0</v>
      </c>
      <c r="N24" s="31"/>
      <c r="O24" s="31"/>
      <c r="P24" s="31"/>
      <c r="Q24" s="31"/>
      <c r="R24" s="81"/>
      <c r="S24" s="31"/>
      <c r="T24" s="104"/>
      <c r="U24" s="32"/>
      <c r="V24" s="93">
        <f>IF(X24=-1,(Data[[#This Row],[SEQ Target]]-Data[[#This Row],[SEQ Outcome]])*X24,ABS((Data[[#This Row],[SEQ Target]]-Data[[#This Row],[SEQ Outcome]])*X24))</f>
        <v>0</v>
      </c>
      <c r="W24" s="2">
        <f>IF(AND(Data[[#This Row],[Patient Identifier]]&lt;&gt;"Enter ID",Data[[#This Row],[Include (Y/N)]]="Yes"),1,0)</f>
        <v>0</v>
      </c>
      <c r="X24" s="50">
        <f>IF(Data[[#This Row],[SEQ Outcome]]&lt;Data[[#This Row],[SEQ Target]],-1,1)</f>
        <v>1</v>
      </c>
      <c r="Z24" s="94"/>
    </row>
    <row r="25" spans="1:26" x14ac:dyDescent="0.45">
      <c r="A25" s="58" t="str">
        <f>Data[[#This Row],[Patient Identifier]]&amp;Data[[#This Row],[Eye (OD/OS)]]</f>
        <v/>
      </c>
      <c r="B25" s="50"/>
      <c r="C25" s="50"/>
      <c r="D25" s="2"/>
      <c r="E25" s="68"/>
      <c r="F25" s="28"/>
      <c r="G25" s="74"/>
      <c r="H25" s="30"/>
      <c r="I25" s="31"/>
      <c r="J25" s="81"/>
      <c r="K25" s="81"/>
      <c r="L25" s="81"/>
      <c r="M25" s="122">
        <f>ABS(Data[[#This Row],[Pre-Op Steep K]]-Data[[#This Row],[Pre Op Flat K]])</f>
        <v>0</v>
      </c>
      <c r="N25" s="31"/>
      <c r="O25" s="31"/>
      <c r="P25" s="31"/>
      <c r="Q25" s="31"/>
      <c r="R25" s="81"/>
      <c r="S25" s="31"/>
      <c r="T25" s="104"/>
      <c r="U25" s="32"/>
      <c r="V25" s="93">
        <f>IF(X25=-1,(Data[[#This Row],[SEQ Target]]-Data[[#This Row],[SEQ Outcome]])*X25,ABS((Data[[#This Row],[SEQ Target]]-Data[[#This Row],[SEQ Outcome]])*X25))</f>
        <v>0</v>
      </c>
      <c r="W25" s="2">
        <f>IF(AND(Data[[#This Row],[Patient Identifier]]&lt;&gt;"Enter ID",Data[[#This Row],[Include (Y/N)]]="Yes"),1,0)</f>
        <v>0</v>
      </c>
      <c r="X25" s="50">
        <f>IF(Data[[#This Row],[SEQ Outcome]]&lt;Data[[#This Row],[SEQ Target]],-1,1)</f>
        <v>1</v>
      </c>
      <c r="Z25" s="94"/>
    </row>
    <row r="26" spans="1:26" x14ac:dyDescent="0.45">
      <c r="A26" s="58" t="str">
        <f>Data[[#This Row],[Patient Identifier]]&amp;Data[[#This Row],[Eye (OD/OS)]]</f>
        <v/>
      </c>
      <c r="B26" s="50"/>
      <c r="C26" s="50"/>
      <c r="D26" s="2"/>
      <c r="E26" s="68"/>
      <c r="F26" s="28"/>
      <c r="G26" s="74"/>
      <c r="H26" s="30"/>
      <c r="I26" s="31"/>
      <c r="J26" s="81"/>
      <c r="K26" s="81"/>
      <c r="L26" s="81"/>
      <c r="M26" s="122">
        <f>ABS(Data[[#This Row],[Pre-Op Steep K]]-Data[[#This Row],[Pre Op Flat K]])</f>
        <v>0</v>
      </c>
      <c r="N26" s="31"/>
      <c r="O26" s="31"/>
      <c r="P26" s="31"/>
      <c r="Q26" s="31"/>
      <c r="R26" s="81"/>
      <c r="S26" s="31"/>
      <c r="T26" s="104"/>
      <c r="U26" s="32"/>
      <c r="V26" s="93">
        <f>IF(X26=-1,(Data[[#This Row],[SEQ Target]]-Data[[#This Row],[SEQ Outcome]])*X26,ABS((Data[[#This Row],[SEQ Target]]-Data[[#This Row],[SEQ Outcome]])*X26))</f>
        <v>0</v>
      </c>
      <c r="W26" s="2">
        <f>IF(AND(Data[[#This Row],[Patient Identifier]]&lt;&gt;"Enter ID",Data[[#This Row],[Include (Y/N)]]="Yes"),1,0)</f>
        <v>0</v>
      </c>
      <c r="X26" s="50">
        <f>IF(Data[[#This Row],[SEQ Outcome]]&lt;Data[[#This Row],[SEQ Target]],-1,1)</f>
        <v>1</v>
      </c>
      <c r="Z26" s="94"/>
    </row>
    <row r="27" spans="1:26" ht="16.5" thickBot="1" x14ac:dyDescent="0.5">
      <c r="A27" s="58" t="str">
        <f>Data[[#This Row],[Patient Identifier]]&amp;Data[[#This Row],[Eye (OD/OS)]]</f>
        <v/>
      </c>
      <c r="B27" s="50"/>
      <c r="C27" s="50"/>
      <c r="D27" s="2"/>
      <c r="E27" s="69"/>
      <c r="F27" s="28"/>
      <c r="G27" s="74"/>
      <c r="H27" s="30"/>
      <c r="I27" s="31"/>
      <c r="J27" s="81"/>
      <c r="K27" s="81"/>
      <c r="L27" s="81"/>
      <c r="M27" s="123">
        <f>ABS(Data[[#This Row],[Pre-Op Steep K]]-Data[[#This Row],[Pre Op Flat K]])</f>
        <v>0</v>
      </c>
      <c r="N27" s="31"/>
      <c r="O27" s="31"/>
      <c r="P27" s="31"/>
      <c r="Q27" s="31"/>
      <c r="R27" s="81"/>
      <c r="S27" s="31"/>
      <c r="T27" s="104"/>
      <c r="U27" s="34"/>
      <c r="V27" s="95">
        <f>IF(X27=-1,(Data[[#This Row],[SEQ Target]]-Data[[#This Row],[SEQ Outcome]])*X27,ABS((Data[[#This Row],[SEQ Target]]-Data[[#This Row],[SEQ Outcome]])*X27))</f>
        <v>0</v>
      </c>
      <c r="W27" s="2">
        <f>IF(AND(Data[[#This Row],[Patient Identifier]]&lt;&gt;"Enter ID",Data[[#This Row],[Include (Y/N)]]="Yes"),1,0)</f>
        <v>0</v>
      </c>
      <c r="X27" s="50">
        <f>IF(Data[[#This Row],[SEQ Outcome]]&lt;Data[[#This Row],[SEQ Target]],-1,1)</f>
        <v>1</v>
      </c>
      <c r="Y27" s="129"/>
      <c r="Z27" s="94"/>
    </row>
    <row r="28" spans="1:26" ht="15.75" customHeight="1" thickBot="1" x14ac:dyDescent="0.5">
      <c r="A28" s="58"/>
      <c r="D28" s="5"/>
      <c r="E28" s="194" t="s">
        <v>44</v>
      </c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W28" s="86">
        <f>IFERROR(AVERAGEIFS($V$8:$V$27,$F$8:$F$27,"&lt;&gt;"&amp;$W$35,$F$8:$F$27,"&lt;&gt;"&amp;$W$34,$W$8:$W$27,1),0)</f>
        <v>0</v>
      </c>
      <c r="Y28" s="129" t="s">
        <v>45</v>
      </c>
    </row>
    <row r="29" spans="1:26" ht="16.5" thickBot="1" x14ac:dyDescent="0.5">
      <c r="A29" s="58" t="str">
        <f>G29&amp;I29</f>
        <v>OU</v>
      </c>
      <c r="D29" s="5"/>
      <c r="E29" s="70"/>
      <c r="F29" s="134"/>
      <c r="G29" s="35"/>
      <c r="H29" s="36"/>
      <c r="I29" s="79" t="s">
        <v>46</v>
      </c>
      <c r="J29" s="38"/>
      <c r="K29" s="38"/>
      <c r="L29" s="38"/>
      <c r="M29" s="38"/>
      <c r="N29" s="39"/>
      <c r="O29" s="39"/>
      <c r="P29" s="39"/>
      <c r="Q29" s="39"/>
      <c r="R29" s="38"/>
      <c r="S29" s="38"/>
      <c r="T29" s="105"/>
      <c r="U29" s="42"/>
      <c r="W29" s="86">
        <f>IFERROR(AVERAGEIFS($V$8:$V$27,$F$8:$F$27,"&lt;&gt;"&amp;$W$38,$F$8:$F$27,"&lt;&gt;"&amp;$W$37,$F$8:$F$27,"&lt;&gt;"&amp;$W$36,$F$8:$F$27,"&lt;&gt;"&amp;$W$32,$F$8:$F$27,"&lt;&gt;"&amp;$W$33,$W$8:$W$27,1),0)</f>
        <v>0</v>
      </c>
      <c r="Y29" s="129" t="s">
        <v>47</v>
      </c>
    </row>
    <row r="30" spans="1:26" ht="16.5" thickBot="1" x14ac:dyDescent="0.5">
      <c r="A30" s="58" t="str">
        <f t="shared" ref="A30:A38" si="0">G30&amp;I30</f>
        <v>OU</v>
      </c>
      <c r="D30" s="5"/>
      <c r="E30" s="71"/>
      <c r="F30" s="135"/>
      <c r="G30" s="29"/>
      <c r="H30" s="26"/>
      <c r="I30" s="79" t="s">
        <v>46</v>
      </c>
      <c r="J30" s="24"/>
      <c r="K30" s="24"/>
      <c r="L30" s="24"/>
      <c r="M30" s="24"/>
      <c r="N30" s="39"/>
      <c r="O30" s="39"/>
      <c r="P30" s="39"/>
      <c r="Q30" s="39"/>
      <c r="R30" s="24"/>
      <c r="S30" s="24"/>
      <c r="T30" s="106"/>
      <c r="U30" s="32"/>
      <c r="W30" s="86"/>
      <c r="X30" s="86"/>
      <c r="Y30" s="130"/>
    </row>
    <row r="31" spans="1:26" ht="16.5" thickBot="1" x14ac:dyDescent="0.5">
      <c r="A31" s="58" t="str">
        <f t="shared" si="0"/>
        <v>OU</v>
      </c>
      <c r="D31" s="5"/>
      <c r="E31" s="71"/>
      <c r="F31" s="135"/>
      <c r="G31" s="29"/>
      <c r="H31" s="26"/>
      <c r="I31" s="79" t="s">
        <v>46</v>
      </c>
      <c r="J31" s="24"/>
      <c r="K31" s="24"/>
      <c r="L31" s="24"/>
      <c r="M31" s="24"/>
      <c r="N31" s="39"/>
      <c r="O31" s="39"/>
      <c r="P31" s="39"/>
      <c r="Q31" s="39"/>
      <c r="R31" s="24"/>
      <c r="S31" s="24"/>
      <c r="T31" s="106"/>
      <c r="U31" s="32"/>
    </row>
    <row r="32" spans="1:26" ht="16.5" thickBot="1" x14ac:dyDescent="0.5">
      <c r="A32" s="58" t="str">
        <f t="shared" si="0"/>
        <v>OU</v>
      </c>
      <c r="D32" s="5"/>
      <c r="E32" s="71"/>
      <c r="F32" s="135"/>
      <c r="G32" s="29"/>
      <c r="H32" s="26"/>
      <c r="I32" s="79" t="s">
        <v>46</v>
      </c>
      <c r="J32" s="24"/>
      <c r="K32" s="24"/>
      <c r="L32" s="24"/>
      <c r="M32" s="24"/>
      <c r="N32" s="39"/>
      <c r="O32" s="39"/>
      <c r="P32" s="39"/>
      <c r="Q32" s="39"/>
      <c r="R32" s="24"/>
      <c r="S32" s="24"/>
      <c r="T32" s="106"/>
      <c r="U32" s="32"/>
      <c r="W32" s="5" t="s">
        <v>24</v>
      </c>
    </row>
    <row r="33" spans="1:23" ht="16.5" thickBot="1" x14ac:dyDescent="0.5">
      <c r="A33" s="58" t="str">
        <f t="shared" si="0"/>
        <v>OU</v>
      </c>
      <c r="D33" s="5"/>
      <c r="E33" s="71"/>
      <c r="F33" s="135"/>
      <c r="G33" s="29"/>
      <c r="H33" s="26"/>
      <c r="I33" s="79" t="s">
        <v>46</v>
      </c>
      <c r="J33" s="24"/>
      <c r="K33" s="24"/>
      <c r="L33" s="24"/>
      <c r="M33" s="24"/>
      <c r="N33" s="39"/>
      <c r="O33" s="39"/>
      <c r="P33" s="39"/>
      <c r="Q33" s="39"/>
      <c r="R33" s="24"/>
      <c r="S33" s="24"/>
      <c r="T33" s="106"/>
      <c r="U33" s="32"/>
      <c r="W33" s="5" t="s">
        <v>48</v>
      </c>
    </row>
    <row r="34" spans="1:23" ht="16.5" thickBot="1" x14ac:dyDescent="0.5">
      <c r="A34" s="58" t="str">
        <f t="shared" si="0"/>
        <v>OU</v>
      </c>
      <c r="D34" s="5"/>
      <c r="E34" s="71"/>
      <c r="F34" s="135"/>
      <c r="G34" s="29"/>
      <c r="H34" s="26"/>
      <c r="I34" s="79" t="s">
        <v>46</v>
      </c>
      <c r="J34" s="24"/>
      <c r="K34" s="24"/>
      <c r="L34" s="24"/>
      <c r="M34" s="24"/>
      <c r="N34" s="39"/>
      <c r="O34" s="39"/>
      <c r="P34" s="39"/>
      <c r="Q34" s="39"/>
      <c r="R34" s="24"/>
      <c r="S34" s="24"/>
      <c r="T34" s="106"/>
      <c r="U34" s="32"/>
      <c r="W34" s="5" t="s">
        <v>49</v>
      </c>
    </row>
    <row r="35" spans="1:23" ht="16.5" thickBot="1" x14ac:dyDescent="0.5">
      <c r="A35" s="58" t="str">
        <f t="shared" si="0"/>
        <v>OU</v>
      </c>
      <c r="D35" s="5"/>
      <c r="E35" s="71"/>
      <c r="F35" s="135"/>
      <c r="G35" s="29"/>
      <c r="H35" s="26"/>
      <c r="I35" s="79" t="s">
        <v>46</v>
      </c>
      <c r="J35" s="24"/>
      <c r="K35" s="24"/>
      <c r="L35" s="24"/>
      <c r="M35" s="24"/>
      <c r="N35" s="39"/>
      <c r="O35" s="39"/>
      <c r="P35" s="39"/>
      <c r="Q35" s="39"/>
      <c r="R35" s="24"/>
      <c r="S35" s="24"/>
      <c r="T35" s="106"/>
      <c r="U35" s="32"/>
      <c r="W35" s="5" t="s">
        <v>50</v>
      </c>
    </row>
    <row r="36" spans="1:23" ht="16.5" thickBot="1" x14ac:dyDescent="0.5">
      <c r="A36" s="58" t="str">
        <f t="shared" si="0"/>
        <v>OU</v>
      </c>
      <c r="D36" s="5"/>
      <c r="E36" s="71"/>
      <c r="F36" s="135"/>
      <c r="G36" s="29"/>
      <c r="H36" s="26"/>
      <c r="I36" s="79" t="s">
        <v>46</v>
      </c>
      <c r="J36" s="24"/>
      <c r="K36" s="24"/>
      <c r="L36" s="24"/>
      <c r="M36" s="24"/>
      <c r="N36" s="39"/>
      <c r="O36" s="39"/>
      <c r="P36" s="39"/>
      <c r="Q36" s="39"/>
      <c r="R36" s="24"/>
      <c r="S36" s="24"/>
      <c r="T36" s="106"/>
      <c r="U36" s="32"/>
      <c r="W36" s="5" t="s">
        <v>51</v>
      </c>
    </row>
    <row r="37" spans="1:23" ht="16.5" thickBot="1" x14ac:dyDescent="0.5">
      <c r="A37" s="58" t="str">
        <f t="shared" si="0"/>
        <v>OU</v>
      </c>
      <c r="D37" s="5"/>
      <c r="E37" s="71"/>
      <c r="F37" s="135"/>
      <c r="G37" s="29"/>
      <c r="H37" s="26"/>
      <c r="I37" s="79" t="s">
        <v>46</v>
      </c>
      <c r="J37" s="24"/>
      <c r="K37" s="24"/>
      <c r="L37" s="24"/>
      <c r="M37" s="24"/>
      <c r="N37" s="39"/>
      <c r="O37" s="39"/>
      <c r="P37" s="39"/>
      <c r="Q37" s="39"/>
      <c r="R37" s="24"/>
      <c r="S37" s="24"/>
      <c r="T37" s="106"/>
      <c r="U37" s="32"/>
      <c r="W37" s="5" t="s">
        <v>52</v>
      </c>
    </row>
    <row r="38" spans="1:23" ht="16.5" thickBot="1" x14ac:dyDescent="0.5">
      <c r="A38" s="58" t="str">
        <f t="shared" si="0"/>
        <v>OU</v>
      </c>
      <c r="D38" s="5"/>
      <c r="E38" s="72"/>
      <c r="F38" s="136"/>
      <c r="G38" s="44"/>
      <c r="H38" s="27"/>
      <c r="I38" s="79" t="s">
        <v>46</v>
      </c>
      <c r="J38" s="25"/>
      <c r="K38" s="25"/>
      <c r="L38" s="25"/>
      <c r="M38" s="25"/>
      <c r="N38" s="39"/>
      <c r="O38" s="39"/>
      <c r="P38" s="39"/>
      <c r="Q38" s="39"/>
      <c r="R38" s="25"/>
      <c r="S38" s="25"/>
      <c r="T38" s="107"/>
      <c r="U38" s="34"/>
      <c r="W38" s="5" t="s">
        <v>53</v>
      </c>
    </row>
    <row r="39" spans="1:23" x14ac:dyDescent="0.45">
      <c r="D39" s="5"/>
      <c r="E39" s="73"/>
      <c r="F39" s="5"/>
      <c r="G39" s="5"/>
      <c r="H39" s="5"/>
      <c r="I39" s="5"/>
      <c r="J39" s="5"/>
      <c r="K39" s="5"/>
      <c r="L39" s="5"/>
      <c r="M39" s="5"/>
      <c r="N39" s="5"/>
      <c r="O39" s="5"/>
    </row>
  </sheetData>
  <sheetProtection selectLockedCells="1"/>
  <mergeCells count="2">
    <mergeCell ref="Y2:Y5"/>
    <mergeCell ref="E28:U28"/>
  </mergeCells>
  <phoneticPr fontId="1" type="noConversion"/>
  <conditionalFormatting sqref="I8:I27 I29:I38">
    <cfRule type="cellIs" dxfId="11" priority="1" operator="equal">
      <formula>"OD"</formula>
    </cfRule>
    <cfRule type="cellIs" dxfId="10" priority="2" operator="equal">
      <formula>"OS"</formula>
    </cfRule>
    <cfRule type="cellIs" dxfId="9" priority="3" operator="equal">
      <formula>"OU"</formula>
    </cfRule>
  </conditionalFormatting>
  <pageMargins left="0" right="0" top="0.25" bottom="0.25" header="0.3" footer="0.3"/>
  <pageSetup scale="72" orientation="landscape" r:id="rId1"/>
  <ignoredErrors>
    <ignoredError sqref="M8:M27" unlockedFormula="1"/>
    <ignoredError sqref="V7:V27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55CCD20A-217E-490A-A92A-67472017FDFC}">
          <x14:formula1>
            <xm:f>Parameters!$B$2:$B$9</xm:f>
          </x14:formula1>
          <xm:sqref>P8:P27 N29:P38 O7:P7 N7:N27</xm:sqref>
        </x14:dataValidation>
        <x14:dataValidation type="list" allowBlank="1" showInputMessage="1" showErrorMessage="1" xr:uid="{91BCB7B4-D905-4A98-A282-0B9D39489F35}">
          <x14:formula1>
            <xm:f>Parameters!$C$2:$C$9</xm:f>
          </x14:formula1>
          <xm:sqref>Q29:Q38 Q7:Q27</xm:sqref>
        </x14:dataValidation>
        <x14:dataValidation type="list" allowBlank="1" showInputMessage="1" showErrorMessage="1" xr:uid="{EDB8D9A5-CEEB-47D7-9C82-F36BD8F3AD5C}">
          <x14:formula1>
            <xm:f>Parameters!$E$2:$E$3</xm:f>
          </x14:formula1>
          <xm:sqref>U29:U38 U7:U27</xm:sqref>
        </x14:dataValidation>
        <x14:dataValidation type="list" allowBlank="1" showInputMessage="1" showErrorMessage="1" xr:uid="{3BF7207C-BE5F-4097-B94F-8115E782C6D5}">
          <x14:formula1>
            <xm:f>Parameters!$A$2:$A$3</xm:f>
          </x14:formula1>
          <xm:sqref>I7:I27</xm:sqref>
        </x14:dataValidation>
        <x14:dataValidation type="list" allowBlank="1" showInputMessage="1" showErrorMessage="1" xr:uid="{A8D90869-7AF7-467C-8A0A-D31C8DB7DE71}">
          <x14:formula1>
            <xm:f>Parameters!$B$2:$B$14</xm:f>
          </x14:formula1>
          <xm:sqref>O8:O27</xm:sqref>
        </x14:dataValidation>
        <x14:dataValidation type="list" allowBlank="1" showInputMessage="1" showErrorMessage="1" xr:uid="{38FC69C3-FB87-421A-965A-7A6EF3B9FDF4}">
          <x14:formula1>
            <xm:f>Parameters!$R$1:$R$2</xm:f>
          </x14:formula1>
          <xm:sqref>F29:F38</xm:sqref>
        </x14:dataValidation>
        <x14:dataValidation type="list" allowBlank="1" showInputMessage="1" showErrorMessage="1" xr:uid="{8AC9DA40-A924-4314-AA3E-4668281CE9D4}">
          <x14:formula1>
            <xm:f>Parameters!$F$4:$F$8</xm:f>
          </x14:formula1>
          <xm:sqref>F7</xm:sqref>
        </x14:dataValidation>
        <x14:dataValidation type="list" allowBlank="1" showInputMessage="1" showErrorMessage="1" xr:uid="{D088B8EC-938F-4B32-93C9-008DD3E637FC}">
          <x14:formula1>
            <xm:f>Parameters!$F$4:$F$10</xm:f>
          </x14:formula1>
          <xm:sqref>F8:F27</xm:sqref>
        </x14:dataValidation>
        <x14:dataValidation type="list" allowBlank="1" showInputMessage="1" showErrorMessage="1" xr:uid="{C48D60E6-9B7D-4B80-9A31-1ECBBD9FE305}">
          <x14:formula1>
            <xm:f>OFFSET(Parameters!$H$2,0,0,COUNTA(Parameters!$H:$H)-1,1)</xm:f>
          </x14:formula1>
          <xm:sqref>G29:G38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EAA8-9288-48B4-95A3-5F334641980F}">
  <sheetPr codeName="Sheet1"/>
  <dimension ref="A1:I7"/>
  <sheetViews>
    <sheetView workbookViewId="0">
      <selection activeCell="J2" sqref="J2"/>
    </sheetView>
  </sheetViews>
  <sheetFormatPr baseColWidth="10" defaultColWidth="8.81640625" defaultRowHeight="14.5" x14ac:dyDescent="0.35"/>
  <cols>
    <col min="1" max="1" width="12.453125" bestFit="1" customWidth="1"/>
    <col min="2" max="2" width="14.453125" bestFit="1" customWidth="1"/>
    <col min="3" max="3" width="17.453125" bestFit="1" customWidth="1"/>
    <col min="5" max="5" width="23.453125" customWidth="1"/>
    <col min="7" max="7" width="25.453125" customWidth="1"/>
  </cols>
  <sheetData>
    <row r="1" spans="1:9" x14ac:dyDescent="0.35">
      <c r="A1" t="s">
        <v>8</v>
      </c>
      <c r="B1" t="s">
        <v>9</v>
      </c>
      <c r="C1" t="s">
        <v>10</v>
      </c>
      <c r="E1" t="s">
        <v>16</v>
      </c>
      <c r="G1" t="s">
        <v>54</v>
      </c>
    </row>
    <row r="2" spans="1:9" x14ac:dyDescent="0.35">
      <c r="C2" t="s">
        <v>55</v>
      </c>
      <c r="G2" t="s">
        <v>56</v>
      </c>
      <c r="I2" t="s">
        <v>57</v>
      </c>
    </row>
    <row r="3" spans="1:9" x14ac:dyDescent="0.35">
      <c r="A3" s="98">
        <v>43</v>
      </c>
      <c r="B3" s="98">
        <v>44.5</v>
      </c>
      <c r="C3">
        <v>1.5</v>
      </c>
      <c r="D3" t="s">
        <v>58</v>
      </c>
      <c r="E3" s="98">
        <v>0.5</v>
      </c>
      <c r="F3" t="s">
        <v>59</v>
      </c>
      <c r="G3" t="s">
        <v>24</v>
      </c>
      <c r="I3" t="s">
        <v>60</v>
      </c>
    </row>
    <row r="4" spans="1:9" x14ac:dyDescent="0.35">
      <c r="G4" t="s">
        <v>48</v>
      </c>
    </row>
    <row r="5" spans="1:9" x14ac:dyDescent="0.35">
      <c r="G5" t="s">
        <v>61</v>
      </c>
    </row>
    <row r="6" spans="1:9" x14ac:dyDescent="0.35">
      <c r="G6" t="s">
        <v>62</v>
      </c>
    </row>
    <row r="7" spans="1:9" x14ac:dyDescent="0.35">
      <c r="G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BDD6-555E-488A-80BF-89AFC438A0F8}">
  <sheetPr codeName="Sheet4">
    <outlinePr showOutlineSymbols="0"/>
    <pageSetUpPr fitToPage="1"/>
  </sheetPr>
  <dimension ref="A1:AC128"/>
  <sheetViews>
    <sheetView showGridLines="0" showRowColHeaders="0" showOutlineSymbols="0" topLeftCell="H1" zoomScale="72" zoomScaleNormal="100" workbookViewId="0">
      <selection activeCell="Z8" sqref="Z8"/>
    </sheetView>
  </sheetViews>
  <sheetFormatPr baseColWidth="10" defaultColWidth="9.1796875" defaultRowHeight="14.5" outlineLevelCol="1" x14ac:dyDescent="0.35"/>
  <cols>
    <col min="1" max="1" width="26.453125" hidden="1" customWidth="1" outlineLevel="1"/>
    <col min="2" max="2" width="8.453125" style="54" hidden="1" customWidth="1" outlineLevel="1"/>
    <col min="3" max="3" width="7.453125" style="59" hidden="1" customWidth="1" outlineLevel="1"/>
    <col min="4" max="4" width="6.453125" style="54" hidden="1" customWidth="1" outlineLevel="1"/>
    <col min="5" max="5" width="7.453125" style="59" hidden="1" customWidth="1" outlineLevel="1"/>
    <col min="6" max="6" width="4" style="54" hidden="1" customWidth="1" outlineLevel="1"/>
    <col min="7" max="7" width="9" hidden="1" customWidth="1" collapsed="1"/>
    <col min="8" max="8" width="3.453125" customWidth="1"/>
    <col min="9" max="9" width="2.453125" customWidth="1"/>
    <col min="10" max="10" width="9.54296875" bestFit="1" customWidth="1"/>
    <col min="11" max="11" width="1.1796875" customWidth="1"/>
    <col min="12" max="12" width="26.54296875" bestFit="1" customWidth="1"/>
    <col min="13" max="14" width="9.1796875" customWidth="1"/>
    <col min="15" max="15" width="9.453125" bestFit="1" customWidth="1"/>
    <col min="16" max="21" width="9.1796875" customWidth="1"/>
    <col min="22" max="22" width="7.453125" customWidth="1"/>
    <col min="23" max="23" width="1.1796875" customWidth="1"/>
    <col min="24" max="24" width="9.54296875" bestFit="1" customWidth="1"/>
    <col min="25" max="25" width="1.1796875" customWidth="1"/>
    <col min="26" max="26" width="19.453125" customWidth="1"/>
    <col min="27" max="27" width="22" customWidth="1"/>
    <col min="28" max="28" width="3.453125" customWidth="1"/>
    <col min="29" max="29" width="5.54296875" customWidth="1"/>
    <col min="30" max="30" width="4" customWidth="1"/>
  </cols>
  <sheetData>
    <row r="1" spans="1:29" ht="6.75" customHeight="1" thickBot="1" x14ac:dyDescent="0.4"/>
    <row r="2" spans="1:29" x14ac:dyDescent="0.35">
      <c r="I2" s="48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87"/>
      <c r="Y2" s="49"/>
      <c r="Z2" s="196"/>
      <c r="AA2" s="196"/>
      <c r="AB2" s="88"/>
      <c r="AC2" s="89"/>
    </row>
    <row r="3" spans="1:29" ht="16" x14ac:dyDescent="0.45">
      <c r="I3" s="45"/>
      <c r="X3" s="83"/>
      <c r="AB3" s="82" t="s">
        <v>64</v>
      </c>
      <c r="AC3" s="90"/>
    </row>
    <row r="4" spans="1:29" x14ac:dyDescent="0.35">
      <c r="A4" t="s">
        <v>65</v>
      </c>
      <c r="B4" s="54">
        <f>COUNTIFS('Envy Experience - Input'!U29:U38,"Yes")</f>
        <v>0</v>
      </c>
      <c r="I4" s="45"/>
      <c r="AA4" s="54"/>
      <c r="AB4" s="54" t="str">
        <f>IFERROR(VLOOKUP($X$3&amp;"OS",'Envy Experience - Input'!$A$6:$U$27,10,0),"")</f>
        <v/>
      </c>
      <c r="AC4" s="91"/>
    </row>
    <row r="5" spans="1:29" x14ac:dyDescent="0.35">
      <c r="A5" t="s">
        <v>66</v>
      </c>
      <c r="B5" s="54">
        <f>COUNTIFS('Envy Experience - Input'!R8:R27,"Yes",'Envy Experience - Input'!U8:U27,"Yes")</f>
        <v>0</v>
      </c>
      <c r="I5" s="45"/>
      <c r="AA5" s="54"/>
      <c r="AB5" s="54" t="str">
        <f>IFERROR(VLOOKUP($X$3&amp;"OS",'Envy Experience - Input'!$A$6:$U$27,11,0),"")</f>
        <v/>
      </c>
      <c r="AC5" s="91"/>
    </row>
    <row r="6" spans="1:29" ht="8.25" customHeight="1" x14ac:dyDescent="0.35">
      <c r="A6" t="s">
        <v>64</v>
      </c>
      <c r="B6" s="54">
        <f>COUNTIFS('Envy Experience - Input'!I8:I27,"OS",'Envy Experience - Input'!U8:U27,"Yes")</f>
        <v>0</v>
      </c>
      <c r="I6" s="45"/>
      <c r="Z6" s="131"/>
      <c r="AA6" s="132"/>
      <c r="AB6" s="132" t="str">
        <f>IFERROR(VLOOKUP($X$3&amp;"OS",'Envy Experience - Input'!$A$6:$U$27,12,0),"")</f>
        <v/>
      </c>
      <c r="AC6" s="133"/>
    </row>
    <row r="7" spans="1:29" ht="6.75" customHeight="1" x14ac:dyDescent="0.35">
      <c r="A7" t="s">
        <v>67</v>
      </c>
      <c r="B7" s="54">
        <f>COUNTIFS('Envy Experience - Input'!I8:I27,"OD",'Envy Experience - Input'!U8:U27,"Yes")</f>
        <v>0</v>
      </c>
      <c r="I7" s="45"/>
      <c r="Z7" s="131"/>
      <c r="AA7" s="132"/>
      <c r="AB7" s="132" t="str">
        <f>IFERROR(VLOOKUP($X$3&amp;"OS",'Envy Experience - Input'!$A$6:$U$27,13,0),"")</f>
        <v/>
      </c>
      <c r="AC7" s="133"/>
    </row>
    <row r="8" spans="1:29" ht="15.75" customHeight="1" x14ac:dyDescent="0.35">
      <c r="A8" t="str">
        <f>A6&amp; " - "&amp; B6 &amp; " Experiences"</f>
        <v>Left Eye - 0 Experiences</v>
      </c>
      <c r="I8" s="45"/>
      <c r="Z8" s="128"/>
      <c r="AA8" s="82"/>
      <c r="AB8" s="82" t="str">
        <f>IFERROR(VLOOKUP($X$3&amp;"OS",'Envy Experience - Input'!$A$6:$U$27,14,0),"")</f>
        <v/>
      </c>
      <c r="AC8" s="90"/>
    </row>
    <row r="9" spans="1:29" ht="16" x14ac:dyDescent="0.35">
      <c r="A9" t="str">
        <f>A7&amp; " - "&amp; B7 &amp; " Experiences"</f>
        <v>Right Eye - 0 Experiences</v>
      </c>
      <c r="I9" s="45"/>
      <c r="Z9" s="125" t="str">
        <f t="shared" ref="Z9:Z10" si="0">"SEQ Diff Average  " &amp; TEXT($AA$11,"##0.##")</f>
        <v>SEQ Diff Average  0</v>
      </c>
      <c r="AA9" s="126">
        <f>'Envy Experience - Input'!W30</f>
        <v>0</v>
      </c>
      <c r="AB9" s="127" t="str">
        <f>"SEQ enVista/Toric Diff Average  " &amp; TEXT($AC$9,"##0.##")</f>
        <v>SEQ enVista/Toric Diff Average  0</v>
      </c>
      <c r="AC9" s="124">
        <f>AA9</f>
        <v>0</v>
      </c>
    </row>
    <row r="10" spans="1:29" ht="16" x14ac:dyDescent="0.35">
      <c r="A10" t="str">
        <f>A5&amp; " - "&amp; B5</f>
        <v>Post Refractive Surgeries - 0</v>
      </c>
      <c r="I10" s="45"/>
      <c r="Z10" s="125" t="str">
        <f t="shared" si="0"/>
        <v>SEQ Diff Average  0</v>
      </c>
      <c r="AA10" s="126">
        <f>'Envy Experience - Input'!W28</f>
        <v>0</v>
      </c>
      <c r="AB10" s="127" t="str">
        <f>"SEQ Other IOL Lens Diff Average  " &amp; TEXT($AC$10,"##0.##")</f>
        <v>SEQ Other IOL Lens Diff Average  0</v>
      </c>
      <c r="AC10" s="124">
        <f>AA10</f>
        <v>0</v>
      </c>
    </row>
    <row r="11" spans="1:29" ht="11.25" customHeight="1" thickBot="1" x14ac:dyDescent="0.4">
      <c r="A11" s="198" t="s">
        <v>11</v>
      </c>
      <c r="B11" s="199"/>
      <c r="C11" s="199"/>
      <c r="D11" s="199"/>
      <c r="E11" s="200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92"/>
      <c r="Z11" s="118" t="str">
        <f>"SEQ Diff Average  " &amp; TEXT($AA$11,"##0.##")</f>
        <v>SEQ Diff Average  0</v>
      </c>
      <c r="AA11" s="119">
        <f>'Envy Experience - Input'!W29</f>
        <v>0</v>
      </c>
      <c r="AB11" s="120" t="str">
        <f>"SEQ Aspire/Aspire Toric Diff Average  " &amp; TEXT($AC$11,"##0.##")</f>
        <v>SEQ Aspire/Aspire Toric Diff Average  0</v>
      </c>
      <c r="AC11" s="121">
        <f>'Envy Experience - Input'!W29</f>
        <v>0</v>
      </c>
    </row>
    <row r="12" spans="1:29" ht="10.5" customHeight="1" thickBot="1" x14ac:dyDescent="0.4">
      <c r="A12" s="56" t="s">
        <v>68</v>
      </c>
      <c r="B12" s="60" t="s">
        <v>69</v>
      </c>
      <c r="C12" s="61" t="s">
        <v>70</v>
      </c>
      <c r="D12" s="60" t="s">
        <v>71</v>
      </c>
      <c r="E12" s="61" t="s">
        <v>72</v>
      </c>
      <c r="Z12" s="117"/>
    </row>
    <row r="13" spans="1:29" ht="15" customHeight="1" x14ac:dyDescent="0.35">
      <c r="A13" s="56" t="s">
        <v>73</v>
      </c>
      <c r="B13" s="60">
        <f>COUNTIFS('Envy Experience - Input'!$N$8:$N$27,'Envy Experience - Results'!A13,'Envy Experience - Input'!$I$8:$I$27,"OD",'Envy Experience - Input'!$U$8:$U$27,"Yes",'Envy Experience - Input'!$F$8:$F$27,"&lt;&gt;Aspire",'Envy Experience - Input'!$F$8:$F$27,"&lt;&gt;Aspire Toric")</f>
        <v>0</v>
      </c>
      <c r="C13" s="61" t="e">
        <f>B13/$B$7</f>
        <v>#DIV/0!</v>
      </c>
      <c r="D13" s="60">
        <f>COUNTIFS('Envy Experience - Input'!$N$8:$N$27,'Envy Experience - Results'!A13,'Envy Experience - Input'!$I$8:$I$27,"OS",'Envy Experience - Input'!$U$8:$U$27,"Yes",'Envy Experience - Input'!$F$8:$F$27,"&lt;&gt;Aspire",'Envy Experience - Input'!$F$8:$F$27,"&lt;&gt;Aspire Toric")</f>
        <v>0</v>
      </c>
      <c r="E13" s="61" t="e">
        <f>D13/$B$6</f>
        <v>#DIV/0!</v>
      </c>
      <c r="I13" s="112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4"/>
    </row>
    <row r="14" spans="1:29" x14ac:dyDescent="0.35">
      <c r="A14" s="56" t="s">
        <v>27</v>
      </c>
      <c r="B14" s="60">
        <f>COUNTIFS('Envy Experience - Input'!$N$8:$N$27,'Envy Experience - Results'!A14,'Envy Experience - Input'!$I$8:$I$27,"OD",'Envy Experience - Input'!$U$8:$U$27,"Yes",'Envy Experience - Input'!$F$8:$F$27,"&lt;&gt;Aspire",'Envy Experience - Input'!$F$8:$F$27,"&lt;&gt;Aspire Toric")</f>
        <v>0</v>
      </c>
      <c r="C14" s="61" t="e">
        <f t="shared" ref="C14:C20" si="1">B14/$B$7</f>
        <v>#DIV/0!</v>
      </c>
      <c r="D14" s="60">
        <f>COUNTIFS('Envy Experience - Input'!$N$8:$N$27,'Envy Experience - Results'!A14,'Envy Experience - Input'!$I$8:$I$27,"OS",'Envy Experience - Input'!$U$8:$U$27,"Yes",'Envy Experience - Input'!$F$8:$F$27,"&lt;&gt;Aspire",'Envy Experience - Input'!$F$8:$F$27,"&lt;&gt;Aspire Toric")</f>
        <v>0</v>
      </c>
      <c r="E14" s="61" t="e">
        <f t="shared" ref="E14:E20" si="2">D14/$B$6</f>
        <v>#DIV/0!</v>
      </c>
      <c r="I14" s="115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9"/>
    </row>
    <row r="15" spans="1:29" x14ac:dyDescent="0.35">
      <c r="A15" s="56" t="s">
        <v>28</v>
      </c>
      <c r="B15" s="60">
        <f>COUNTIFS('Envy Experience - Input'!$N$8:$N$27,'Envy Experience - Results'!A15,'Envy Experience - Input'!$I$8:$I$27,"OD",'Envy Experience - Input'!$U$8:$U$27,"Yes",'Envy Experience - Input'!$F$8:$F$27,"&lt;&gt;Aspire",'Envy Experience - Input'!$F$8:$F$27,"&lt;&gt;Aspire Toric")</f>
        <v>0</v>
      </c>
      <c r="C15" s="61" t="e">
        <f t="shared" si="1"/>
        <v>#DIV/0!</v>
      </c>
      <c r="D15" s="60">
        <f>COUNTIFS('Envy Experience - Input'!$N$8:$N$27,'Envy Experience - Results'!A15,'Envy Experience - Input'!$I$8:$I$27,"OS",'Envy Experience - Input'!$U$8:$U$27,"Yes",'Envy Experience - Input'!$F$8:$F$27,"&lt;&gt;Aspire",'Envy Experience - Input'!$F$8:$F$27,"&lt;&gt;Aspire Toric")</f>
        <v>0</v>
      </c>
      <c r="E15" s="61" t="e">
        <f t="shared" si="2"/>
        <v>#DIV/0!</v>
      </c>
      <c r="I15" s="115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9"/>
    </row>
    <row r="16" spans="1:29" x14ac:dyDescent="0.35">
      <c r="A16" s="56" t="s">
        <v>74</v>
      </c>
      <c r="B16" s="60">
        <f>COUNTIFS('Envy Experience - Input'!$N$8:$N$27,'Envy Experience - Results'!A16,'Envy Experience - Input'!$I$8:$I$27,"OD",'Envy Experience - Input'!$U$8:$U$27,"Yes",'Envy Experience - Input'!$F$8:$F$27,"&lt;&gt;Aspire",'Envy Experience - Input'!$F$8:$F$27,"&lt;&gt;Aspire Toric")</f>
        <v>0</v>
      </c>
      <c r="C16" s="61" t="e">
        <f t="shared" si="1"/>
        <v>#DIV/0!</v>
      </c>
      <c r="D16" s="60">
        <f>COUNTIFS('Envy Experience - Input'!$N$8:$N$27,'Envy Experience - Results'!A16,'Envy Experience - Input'!$I$8:$I$27,"OS",'Envy Experience - Input'!$U$8:$U$27,"Yes",'Envy Experience - Input'!$F$8:$F$27,"&lt;&gt;Aspire",'Envy Experience - Input'!$F$8:$F$27,"&lt;&gt;Aspire Toric")</f>
        <v>0</v>
      </c>
      <c r="E16" s="61" t="e">
        <f t="shared" si="2"/>
        <v>#DIV/0!</v>
      </c>
      <c r="I16" s="115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9"/>
    </row>
    <row r="17" spans="1:29" x14ac:dyDescent="0.35">
      <c r="A17" s="56" t="s">
        <v>75</v>
      </c>
      <c r="B17" s="60">
        <f>COUNTIFS('Envy Experience - Input'!$N$8:$N$27,'Envy Experience - Results'!A17,'Envy Experience - Input'!$I$8:$I$27,"OD",'Envy Experience - Input'!$U$8:$U$27,"Yes",'Envy Experience - Input'!$F$8:$F$27,"&lt;&gt;Aspire",'Envy Experience - Input'!$F$8:$F$27,"&lt;&gt;Aspire Toric")</f>
        <v>0</v>
      </c>
      <c r="C17" s="61" t="e">
        <f t="shared" si="1"/>
        <v>#DIV/0!</v>
      </c>
      <c r="D17" s="60">
        <f>COUNTIFS('Envy Experience - Input'!$N$8:$N$27,'Envy Experience - Results'!A17,'Envy Experience - Input'!$I$8:$I$27,"OS",'Envy Experience - Input'!$U$8:$U$27,"Yes",'Envy Experience - Input'!$F$8:$F$27,"&lt;&gt;Aspire",'Envy Experience - Input'!$F$8:$F$27,"&lt;&gt;Aspire Toric")</f>
        <v>0</v>
      </c>
      <c r="E17" s="61" t="e">
        <f t="shared" si="2"/>
        <v>#DIV/0!</v>
      </c>
      <c r="I17" s="115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9"/>
    </row>
    <row r="18" spans="1:29" x14ac:dyDescent="0.35">
      <c r="A18" s="56" t="s">
        <v>76</v>
      </c>
      <c r="B18" s="60">
        <f>COUNTIFS('Envy Experience - Input'!$N$8:$N$27,'Envy Experience - Results'!A18,'Envy Experience - Input'!$I$8:$I$27,"OD",'Envy Experience - Input'!$U$8:$U$27,"Yes",'Envy Experience - Input'!$F$8:$F$27,"&lt;&gt;Aspire",'Envy Experience - Input'!$F$8:$F$27,"&lt;&gt;Aspire Toric")</f>
        <v>0</v>
      </c>
      <c r="C18" s="61" t="e">
        <f t="shared" si="1"/>
        <v>#DIV/0!</v>
      </c>
      <c r="D18" s="60">
        <f>COUNTIFS('Envy Experience - Input'!$N$8:$N$27,'Envy Experience - Results'!A18,'Envy Experience - Input'!$I$8:$I$27,"OS",'Envy Experience - Input'!$U$8:$U$27,"Yes",'Envy Experience - Input'!$F$8:$F$27,"&lt;&gt;Aspire",'Envy Experience - Input'!$F$8:$F$27,"&lt;&gt;Aspire Toric")</f>
        <v>0</v>
      </c>
      <c r="E18" s="61" t="e">
        <f t="shared" si="2"/>
        <v>#DIV/0!</v>
      </c>
      <c r="I18" s="115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9"/>
    </row>
    <row r="19" spans="1:29" x14ac:dyDescent="0.35">
      <c r="A19" s="56" t="s">
        <v>77</v>
      </c>
      <c r="B19" s="60">
        <f>COUNTIFS('Envy Experience - Input'!$N$8:$N$27,'Envy Experience - Results'!A19,'Envy Experience - Input'!$I$8:$I$27,"OD",'Envy Experience - Input'!$U$8:$U$27,"Yes",'Envy Experience - Input'!$F$8:$F$27,"&lt;&gt;Aspire",'Envy Experience - Input'!$F$8:$F$27,"&lt;&gt;Aspire Toric")</f>
        <v>0</v>
      </c>
      <c r="C19" s="61" t="e">
        <f t="shared" si="1"/>
        <v>#DIV/0!</v>
      </c>
      <c r="D19" s="60">
        <f>COUNTIFS('Envy Experience - Input'!$N$8:$N$27,'Envy Experience - Results'!A19,'Envy Experience - Input'!$I$8:$I$27,"OS",'Envy Experience - Input'!$U$8:$U$27,"Yes",'Envy Experience - Input'!$F$8:$F$27,"&lt;&gt;Aspire",'Envy Experience - Input'!$F$8:$F$27,"&lt;&gt;Aspire Toric")</f>
        <v>0</v>
      </c>
      <c r="E19" s="61" t="e">
        <f t="shared" si="2"/>
        <v>#DIV/0!</v>
      </c>
      <c r="I19" s="115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9"/>
    </row>
    <row r="20" spans="1:29" x14ac:dyDescent="0.35">
      <c r="A20" s="56" t="s">
        <v>78</v>
      </c>
      <c r="B20" s="60">
        <f>COUNTIFS('Envy Experience - Input'!$N$8:$N$27,'Envy Experience - Results'!A20,'Envy Experience - Input'!$I$8:$I$27,"OD",'Envy Experience - Input'!$U$8:$U$27,"Yes",'Envy Experience - Input'!$F$8:$F$27,"&lt;&gt;Aspire",'Envy Experience - Input'!$F$8:$F$27,"&lt;&gt;Aspire Toric")</f>
        <v>0</v>
      </c>
      <c r="C20" s="61" t="e">
        <f t="shared" si="1"/>
        <v>#DIV/0!</v>
      </c>
      <c r="D20" s="60">
        <f>COUNTIFS('Envy Experience - Input'!$N$8:$N$27,'Envy Experience - Results'!A20,'Envy Experience - Input'!$I$8:$I$27,"OS",'Envy Experience - Input'!$U$8:$U$27,"Yes",'Envy Experience - Input'!$F$8:$F$27,"&lt;&gt;Aspire",'Envy Experience - Input'!$F$8:$F$27,"&lt;&gt;Aspire Toric")</f>
        <v>0</v>
      </c>
      <c r="E20" s="61" t="e">
        <f t="shared" si="2"/>
        <v>#DIV/0!</v>
      </c>
      <c r="I20" s="115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9"/>
    </row>
    <row r="21" spans="1:29" x14ac:dyDescent="0.35">
      <c r="B21" s="54">
        <f>SUM(B13:B20)</f>
        <v>0</v>
      </c>
      <c r="C21" s="59" t="e">
        <f t="shared" ref="C21:E21" si="3">SUM(C13:C20)</f>
        <v>#DIV/0!</v>
      </c>
      <c r="D21" s="54">
        <f t="shared" si="3"/>
        <v>0</v>
      </c>
      <c r="E21" s="59" t="e">
        <f t="shared" si="3"/>
        <v>#DIV/0!</v>
      </c>
      <c r="I21" s="115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9"/>
    </row>
    <row r="22" spans="1:29" ht="16" x14ac:dyDescent="0.35">
      <c r="A22" s="197" t="s">
        <v>12</v>
      </c>
      <c r="B22" s="197"/>
      <c r="C22" s="197"/>
      <c r="D22" s="197"/>
      <c r="E22" s="197"/>
      <c r="I22" s="115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9"/>
    </row>
    <row r="23" spans="1:29" x14ac:dyDescent="0.35">
      <c r="A23" s="56" t="s">
        <v>68</v>
      </c>
      <c r="B23" s="60" t="s">
        <v>69</v>
      </c>
      <c r="C23" s="61" t="s">
        <v>70</v>
      </c>
      <c r="D23" s="60" t="s">
        <v>71</v>
      </c>
      <c r="E23" s="61" t="s">
        <v>72</v>
      </c>
      <c r="I23" s="115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9"/>
    </row>
    <row r="24" spans="1:29" x14ac:dyDescent="0.35">
      <c r="A24" s="56" t="s">
        <v>73</v>
      </c>
      <c r="B24" s="60">
        <f>COUNTIFS('Envy Experience - Input'!$O$8:$O$27,'Envy Experience - Results'!A24,'Envy Experience - Input'!$I$8:$I$27,"OD",'Envy Experience - Input'!$U$8:$U$27,"Yes",'Envy Experience - Input'!$F$8:$F$27,"&lt;&gt;Aspire",'Envy Experience - Input'!$F$8:$F$27,"&lt;&gt;Aspire Toric")</f>
        <v>0</v>
      </c>
      <c r="C24" s="61" t="e">
        <f>B24/$B$7</f>
        <v>#DIV/0!</v>
      </c>
      <c r="D24" s="60">
        <f>COUNTIFS('Envy Experience - Input'!$O$8:$O$27,'Envy Experience - Results'!A24,'Envy Experience - Input'!$I$8:$I$27,"OS",'Envy Experience - Input'!$U$8:$U$27,"Yes",'Envy Experience - Input'!$F$8:$F$27,"&lt;&gt;Aspire",'Envy Experience - Input'!$F$8:$F$27,"&lt;&gt;Aspire Toric")</f>
        <v>0</v>
      </c>
      <c r="E24" s="61" t="e">
        <f t="shared" ref="E24:E31" si="4">D24/$B$6</f>
        <v>#DIV/0!</v>
      </c>
      <c r="I24" s="115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9"/>
    </row>
    <row r="25" spans="1:29" x14ac:dyDescent="0.35">
      <c r="A25" s="56" t="s">
        <v>27</v>
      </c>
      <c r="B25" s="60">
        <f>COUNTIFS('Envy Experience - Input'!$O$8:$O$27,'Envy Experience - Results'!A25,'Envy Experience - Input'!$I$8:$I$27,"OD",'Envy Experience - Input'!$U$8:$U$27,"Yes",'Envy Experience - Input'!$F$8:$F$27,"&lt;&gt;Aspire",'Envy Experience - Input'!$F$8:$F$27,"&lt;&gt;Aspire Toric")</f>
        <v>0</v>
      </c>
      <c r="C25" s="61" t="e">
        <f t="shared" ref="C25:C31" si="5">B25/$B$7</f>
        <v>#DIV/0!</v>
      </c>
      <c r="D25" s="60">
        <f>COUNTIFS('Envy Experience - Input'!$O$8:$O$27,'Envy Experience - Results'!A25,'Envy Experience - Input'!$I$8:$I$27,"OS",'Envy Experience - Input'!$U$8:$U$27,"Yes",'Envy Experience - Input'!$F$8:$F$27,"&lt;&gt;Aspire",'Envy Experience - Input'!$F$8:$F$27,"&lt;&gt;Aspire Toric")</f>
        <v>0</v>
      </c>
      <c r="E25" s="61" t="e">
        <f t="shared" si="4"/>
        <v>#DIV/0!</v>
      </c>
      <c r="I25" s="115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9"/>
    </row>
    <row r="26" spans="1:29" x14ac:dyDescent="0.35">
      <c r="A26" s="56" t="s">
        <v>28</v>
      </c>
      <c r="B26" s="60">
        <f>COUNTIFS('Envy Experience - Input'!$O$8:$O$27,'Envy Experience - Results'!A26,'Envy Experience - Input'!$I$8:$I$27,"OD",'Envy Experience - Input'!$U$8:$U$27,"Yes",'Envy Experience - Input'!$F$8:$F$27,"&lt;&gt;Aspire",'Envy Experience - Input'!$F$8:$F$27,"&lt;&gt;Aspire Toric")</f>
        <v>0</v>
      </c>
      <c r="C26" s="61" t="e">
        <f t="shared" si="5"/>
        <v>#DIV/0!</v>
      </c>
      <c r="D26" s="60">
        <f>COUNTIFS('Envy Experience - Input'!$O$8:$O$27,'Envy Experience - Results'!A26,'Envy Experience - Input'!$I$8:$I$27,"OS",'Envy Experience - Input'!$U$8:$U$27,"Yes",'Envy Experience - Input'!$F$8:$F$27,"&lt;&gt;Aspire",'Envy Experience - Input'!$F$8:$F$27,"&lt;&gt;Aspire Toric")</f>
        <v>0</v>
      </c>
      <c r="E26" s="61" t="e">
        <f t="shared" si="4"/>
        <v>#DIV/0!</v>
      </c>
      <c r="I26" s="115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9"/>
    </row>
    <row r="27" spans="1:29" x14ac:dyDescent="0.35">
      <c r="A27" s="56" t="s">
        <v>74</v>
      </c>
      <c r="B27" s="60">
        <f>COUNTIFS('Envy Experience - Input'!$O$8:$O$27,'Envy Experience - Results'!A27,'Envy Experience - Input'!$I$8:$I$27,"OD",'Envy Experience - Input'!$U$8:$U$27,"Yes",'Envy Experience - Input'!$F$8:$F$27,"&lt;&gt;Aspire",'Envy Experience - Input'!$F$8:$F$27,"&lt;&gt;Aspire Toric")</f>
        <v>0</v>
      </c>
      <c r="C27" s="61" t="e">
        <f t="shared" si="5"/>
        <v>#DIV/0!</v>
      </c>
      <c r="D27" s="60">
        <f>COUNTIFS('Envy Experience - Input'!$O$8:$O$27,'Envy Experience - Results'!A27,'Envy Experience - Input'!$I$8:$I$27,"OS",'Envy Experience - Input'!$U$8:$U$27,"Yes",'Envy Experience - Input'!$F$8:$F$27,"&lt;&gt;Aspire",'Envy Experience - Input'!$F$8:$F$27,"&lt;&gt;Aspire Toric")</f>
        <v>0</v>
      </c>
      <c r="E27" s="61" t="e">
        <f t="shared" si="4"/>
        <v>#DIV/0!</v>
      </c>
      <c r="I27" s="115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9"/>
    </row>
    <row r="28" spans="1:29" x14ac:dyDescent="0.35">
      <c r="A28" s="56" t="s">
        <v>75</v>
      </c>
      <c r="B28" s="60">
        <f>COUNTIFS('Envy Experience - Input'!$O$8:$O$27,'Envy Experience - Results'!A28,'Envy Experience - Input'!$I$8:$I$27,"OD",'Envy Experience - Input'!$U$8:$U$27,"Yes",'Envy Experience - Input'!$F$8:$F$27,"&lt;&gt;Aspire",'Envy Experience - Input'!$F$8:$F$27,"&lt;&gt;Aspire Toric")</f>
        <v>0</v>
      </c>
      <c r="C28" s="61" t="e">
        <f t="shared" si="5"/>
        <v>#DIV/0!</v>
      </c>
      <c r="D28" s="60">
        <f>COUNTIFS('Envy Experience - Input'!$O$8:$O$27,'Envy Experience - Results'!A28,'Envy Experience - Input'!$I$8:$I$27,"OS",'Envy Experience - Input'!$U$8:$U$27,"Yes",'Envy Experience - Input'!$F$8:$F$27,"&lt;&gt;Aspire",'Envy Experience - Input'!$F$8:$F$27,"&lt;&gt;Aspire Toric")</f>
        <v>0</v>
      </c>
      <c r="E28" s="61" t="e">
        <f t="shared" si="4"/>
        <v>#DIV/0!</v>
      </c>
      <c r="I28" s="115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9"/>
    </row>
    <row r="29" spans="1:29" x14ac:dyDescent="0.35">
      <c r="A29" s="56" t="s">
        <v>76</v>
      </c>
      <c r="B29" s="60">
        <f>COUNTIFS('Envy Experience - Input'!$O$8:$O$27,'Envy Experience - Results'!A29,'Envy Experience - Input'!$I$8:$I$27,"OD",'Envy Experience - Input'!$U$8:$U$27,"Yes",'Envy Experience - Input'!$F$8:$F$27,"&lt;&gt;Aspire",'Envy Experience - Input'!$F$8:$F$27,"&lt;&gt;Aspire Toric")</f>
        <v>0</v>
      </c>
      <c r="C29" s="61" t="e">
        <f t="shared" si="5"/>
        <v>#DIV/0!</v>
      </c>
      <c r="D29" s="60">
        <f>COUNTIFS('Envy Experience - Input'!$O$8:$O$27,'Envy Experience - Results'!A29,'Envy Experience - Input'!$I$8:$I$27,"OS",'Envy Experience - Input'!$U$8:$U$27,"Yes",'Envy Experience - Input'!$F$8:$F$27,"&lt;&gt;Aspire",'Envy Experience - Input'!$F$8:$F$27,"&lt;&gt;Aspire Toric")</f>
        <v>0</v>
      </c>
      <c r="E29" s="61" t="e">
        <f t="shared" si="4"/>
        <v>#DIV/0!</v>
      </c>
      <c r="I29" s="115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9"/>
    </row>
    <row r="30" spans="1:29" x14ac:dyDescent="0.35">
      <c r="A30" s="56" t="s">
        <v>77</v>
      </c>
      <c r="B30" s="60">
        <f>COUNTIFS('Envy Experience - Input'!$O$8:$O$27,'Envy Experience - Results'!A30,'Envy Experience - Input'!$I$8:$I$27,"OD",'Envy Experience - Input'!$U$8:$U$27,"Yes",'Envy Experience - Input'!$F$8:$F$27,"&lt;&gt;Aspire",'Envy Experience - Input'!$F$8:$F$27,"&lt;&gt;Aspire Toric")</f>
        <v>0</v>
      </c>
      <c r="C30" s="61" t="e">
        <f t="shared" si="5"/>
        <v>#DIV/0!</v>
      </c>
      <c r="D30" s="60">
        <f>COUNTIFS('Envy Experience - Input'!$O$8:$O$27,'Envy Experience - Results'!A30,'Envy Experience - Input'!$I$8:$I$27,"OS",'Envy Experience - Input'!$U$8:$U$27,"Yes",'Envy Experience - Input'!$F$8:$F$27,"&lt;&gt;Aspire",'Envy Experience - Input'!$F$8:$F$27,"&lt;&gt;Aspire Toric")</f>
        <v>0</v>
      </c>
      <c r="E30" s="61" t="e">
        <f t="shared" si="4"/>
        <v>#DIV/0!</v>
      </c>
      <c r="I30" s="115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9"/>
    </row>
    <row r="31" spans="1:29" x14ac:dyDescent="0.35">
      <c r="A31" s="56" t="s">
        <v>78</v>
      </c>
      <c r="B31" s="60">
        <f>COUNTIFS('Envy Experience - Input'!$O$8:$O$27,'Envy Experience - Results'!A31,'Envy Experience - Input'!$I$8:$I$27,"OD",'Envy Experience - Input'!$U$8:$U$27,"Yes",'Envy Experience - Input'!$F$8:$F$27,"&lt;&gt;Aspire",'Envy Experience - Input'!$F$8:$F$27,"&lt;&gt;Aspire Toric")</f>
        <v>0</v>
      </c>
      <c r="C31" s="61" t="e">
        <f t="shared" si="5"/>
        <v>#DIV/0!</v>
      </c>
      <c r="D31" s="60">
        <f>COUNTIFS('Envy Experience - Input'!$O$8:$O$27,'Envy Experience - Results'!A31,'Envy Experience - Input'!$I$8:$I$27,"OS",'Envy Experience - Input'!$U$8:$U$27,"Yes",'Envy Experience - Input'!$F$8:$F$27,"&lt;&gt;Aspire",'Envy Experience - Input'!$F$8:$F$27,"&lt;&gt;Aspire Toric")</f>
        <v>0</v>
      </c>
      <c r="E31" s="61" t="e">
        <f t="shared" si="4"/>
        <v>#DIV/0!</v>
      </c>
      <c r="I31" s="115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9"/>
    </row>
    <row r="32" spans="1:29" ht="16" x14ac:dyDescent="0.35">
      <c r="A32" s="51"/>
      <c r="B32" s="54">
        <f>SUM(B24:B31)</f>
        <v>0</v>
      </c>
      <c r="C32" s="59" t="e">
        <f t="shared" ref="C32" si="6">SUM(C24:C31)</f>
        <v>#DIV/0!</v>
      </c>
      <c r="D32" s="54">
        <f t="shared" ref="D32" si="7">SUM(D24:D31)</f>
        <v>0</v>
      </c>
      <c r="E32" s="59" t="e">
        <f t="shared" ref="E32" si="8">SUM(E24:E31)</f>
        <v>#DIV/0!</v>
      </c>
      <c r="I32" s="115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9"/>
    </row>
    <row r="33" spans="1:29" ht="16" x14ac:dyDescent="0.35">
      <c r="A33" s="197" t="s">
        <v>13</v>
      </c>
      <c r="B33" s="197"/>
      <c r="C33" s="197"/>
      <c r="D33" s="197"/>
      <c r="E33" s="197"/>
      <c r="I33" s="115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9"/>
    </row>
    <row r="34" spans="1:29" x14ac:dyDescent="0.35">
      <c r="A34" s="56" t="s">
        <v>68</v>
      </c>
      <c r="B34" s="60" t="s">
        <v>69</v>
      </c>
      <c r="C34" s="61" t="s">
        <v>70</v>
      </c>
      <c r="D34" s="60" t="s">
        <v>71</v>
      </c>
      <c r="E34" s="61" t="s">
        <v>72</v>
      </c>
      <c r="I34" s="115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9"/>
    </row>
    <row r="35" spans="1:29" x14ac:dyDescent="0.35">
      <c r="A35" s="56" t="s">
        <v>73</v>
      </c>
      <c r="B35" s="60">
        <f>COUNTIFS('Envy Experience - Input'!$P$8:$P$27,'Envy Experience - Results'!A35,'Envy Experience - Input'!$I$8:$I$27,"OD",'Envy Experience - Input'!$U$8:$U$27,"Yes",'Envy Experience - Input'!$F$8:$F$27,"&lt;&gt;Aspire",'Envy Experience - Input'!$F$8:$F$27,"&lt;&gt;Aspire Toric")</f>
        <v>0</v>
      </c>
      <c r="C35" s="61" t="e">
        <f>B35/$B$7</f>
        <v>#DIV/0!</v>
      </c>
      <c r="D35" s="60">
        <f>COUNTIFS('Envy Experience - Input'!$P$8:$P$27,'Envy Experience - Results'!A35,'Envy Experience - Input'!$I$8:$I$27,"OS",'Envy Experience - Input'!$U$8:$U$27,"Yes",'Envy Experience - Input'!$F$8:$F$27,"&lt;&gt;Aspire",'Envy Experience - Input'!$F$8:$F$27,"&lt;&gt;Aspire Toric")</f>
        <v>0</v>
      </c>
      <c r="E35" s="61" t="e">
        <f t="shared" ref="E35:E42" si="9">D35/$B$6</f>
        <v>#DIV/0!</v>
      </c>
      <c r="I35" s="115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9"/>
    </row>
    <row r="36" spans="1:29" x14ac:dyDescent="0.35">
      <c r="A36" s="56" t="s">
        <v>27</v>
      </c>
      <c r="B36" s="60">
        <f>COUNTIFS('Envy Experience - Input'!$P$8:$P$27,'Envy Experience - Results'!A36,'Envy Experience - Input'!$I$8:$I$27,"OD",'Envy Experience - Input'!$U$8:$U$27,"Yes",'Envy Experience - Input'!$F$8:$F$27,"&lt;&gt;Aspire",'Envy Experience - Input'!$F$8:$F$27,"&lt;&gt;Aspire Toric")</f>
        <v>0</v>
      </c>
      <c r="C36" s="61" t="e">
        <f t="shared" ref="C36:C42" si="10">B36/$B$7</f>
        <v>#DIV/0!</v>
      </c>
      <c r="D36" s="60">
        <f>COUNTIFS('Envy Experience - Input'!$P$8:$P$27,'Envy Experience - Results'!A36,'Envy Experience - Input'!$I$8:$I$27,"OS",'Envy Experience - Input'!$U$8:$U$27,"Yes",'Envy Experience - Input'!$F$8:$F$27,"&lt;&gt;Aspire",'Envy Experience - Input'!$F$8:$F$27,"&lt;&gt;Aspire Toric")</f>
        <v>0</v>
      </c>
      <c r="E36" s="61" t="e">
        <f t="shared" si="9"/>
        <v>#DIV/0!</v>
      </c>
      <c r="I36" s="115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9"/>
    </row>
    <row r="37" spans="1:29" x14ac:dyDescent="0.35">
      <c r="A37" s="56" t="s">
        <v>28</v>
      </c>
      <c r="B37" s="60">
        <f>COUNTIFS('Envy Experience - Input'!$P$8:$P$27,'Envy Experience - Results'!A37,'Envy Experience - Input'!$I$8:$I$27,"OD",'Envy Experience - Input'!$U$8:$U$27,"Yes",'Envy Experience - Input'!$F$8:$F$27,"&lt;&gt;Aspire",'Envy Experience - Input'!$F$8:$F$27,"&lt;&gt;Aspire Toric")</f>
        <v>0</v>
      </c>
      <c r="C37" s="61" t="e">
        <f t="shared" si="10"/>
        <v>#DIV/0!</v>
      </c>
      <c r="D37" s="60">
        <f>COUNTIFS('Envy Experience - Input'!$P$8:$P$27,'Envy Experience - Results'!A37,'Envy Experience - Input'!$I$8:$I$27,"OS",'Envy Experience - Input'!$U$8:$U$27,"Yes",'Envy Experience - Input'!$F$8:$F$27,"&lt;&gt;Aspire",'Envy Experience - Input'!$F$8:$F$27,"&lt;&gt;Aspire Toric")</f>
        <v>0</v>
      </c>
      <c r="E37" s="61" t="e">
        <f t="shared" si="9"/>
        <v>#DIV/0!</v>
      </c>
      <c r="I37" s="115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9"/>
    </row>
    <row r="38" spans="1:29" x14ac:dyDescent="0.35">
      <c r="A38" s="56" t="s">
        <v>74</v>
      </c>
      <c r="B38" s="60">
        <f>COUNTIFS('Envy Experience - Input'!$P$8:$P$27,'Envy Experience - Results'!A38,'Envy Experience - Input'!$I$8:$I$27,"OD",'Envy Experience - Input'!$U$8:$U$27,"Yes",'Envy Experience - Input'!$F$8:$F$27,"&lt;&gt;Aspire",'Envy Experience - Input'!$F$8:$F$27,"&lt;&gt;Aspire Toric")</f>
        <v>0</v>
      </c>
      <c r="C38" s="61" t="e">
        <f t="shared" si="10"/>
        <v>#DIV/0!</v>
      </c>
      <c r="D38" s="60">
        <f>COUNTIFS('Envy Experience - Input'!$P$8:$P$27,'Envy Experience - Results'!A38,'Envy Experience - Input'!$I$8:$I$27,"OS",'Envy Experience - Input'!$U$8:$U$27,"Yes",'Envy Experience - Input'!$F$8:$F$27,"&lt;&gt;Aspire",'Envy Experience - Input'!$F$8:$F$27,"&lt;&gt;Aspire Toric")</f>
        <v>0</v>
      </c>
      <c r="E38" s="61" t="e">
        <f t="shared" si="9"/>
        <v>#DIV/0!</v>
      </c>
      <c r="I38" s="115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9"/>
    </row>
    <row r="39" spans="1:29" x14ac:dyDescent="0.35">
      <c r="A39" s="56" t="s">
        <v>75</v>
      </c>
      <c r="B39" s="60">
        <f>COUNTIFS('Envy Experience - Input'!$P$8:$P$27,'Envy Experience - Results'!A39,'Envy Experience - Input'!$I$8:$I$27,"OD",'Envy Experience - Input'!$U$8:$U$27,"Yes",'Envy Experience - Input'!$F$8:$F$27,"&lt;&gt;Aspire",'Envy Experience - Input'!$F$8:$F$27,"&lt;&gt;Aspire Toric")</f>
        <v>0</v>
      </c>
      <c r="C39" s="61" t="e">
        <f t="shared" si="10"/>
        <v>#DIV/0!</v>
      </c>
      <c r="D39" s="60">
        <f>COUNTIFS('Envy Experience - Input'!$P$8:$P$27,'Envy Experience - Results'!A39,'Envy Experience - Input'!$I$8:$I$27,"OS",'Envy Experience - Input'!$U$8:$U$27,"Yes",'Envy Experience - Input'!$F$8:$F$27,"&lt;&gt;Aspire",'Envy Experience - Input'!$F$8:$F$27,"&lt;&gt;Aspire Toric")</f>
        <v>0</v>
      </c>
      <c r="E39" s="61" t="e">
        <f t="shared" si="9"/>
        <v>#DIV/0!</v>
      </c>
      <c r="I39" s="115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9"/>
    </row>
    <row r="40" spans="1:29" x14ac:dyDescent="0.35">
      <c r="A40" s="56" t="s">
        <v>76</v>
      </c>
      <c r="B40" s="60">
        <f>COUNTIFS('Envy Experience - Input'!$P$8:$P$27,'Envy Experience - Results'!A40,'Envy Experience - Input'!$I$8:$I$27,"OD",'Envy Experience - Input'!$U$8:$U$27,"Yes",'Envy Experience - Input'!$F$8:$F$27,"&lt;&gt;Aspire",'Envy Experience - Input'!$F$8:$F$27,"&lt;&gt;Aspire Toric")</f>
        <v>0</v>
      </c>
      <c r="C40" s="61" t="e">
        <f t="shared" si="10"/>
        <v>#DIV/0!</v>
      </c>
      <c r="D40" s="60">
        <f>COUNTIFS('Envy Experience - Input'!$P$8:$P$27,'Envy Experience - Results'!A40,'Envy Experience - Input'!$I$8:$I$27,"OS",'Envy Experience - Input'!$U$8:$U$27,"Yes",'Envy Experience - Input'!$F$8:$F$27,"&lt;&gt;Aspire",'Envy Experience - Input'!$F$8:$F$27,"&lt;&gt;Aspire Toric")</f>
        <v>0</v>
      </c>
      <c r="E40" s="61" t="e">
        <f t="shared" si="9"/>
        <v>#DIV/0!</v>
      </c>
      <c r="I40" s="115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9"/>
    </row>
    <row r="41" spans="1:29" x14ac:dyDescent="0.35">
      <c r="A41" s="56" t="s">
        <v>77</v>
      </c>
      <c r="B41" s="60">
        <f>COUNTIFS('Envy Experience - Input'!$P$8:$P$27,'Envy Experience - Results'!A41,'Envy Experience - Input'!$I$8:$I$27,"OD",'Envy Experience - Input'!$U$8:$U$27,"Yes",'Envy Experience - Input'!$F$8:$F$27,"&lt;&gt;Aspire",'Envy Experience - Input'!$F$8:$F$27,"&lt;&gt;Aspire Toric")</f>
        <v>0</v>
      </c>
      <c r="C41" s="61" t="e">
        <f t="shared" si="10"/>
        <v>#DIV/0!</v>
      </c>
      <c r="D41" s="60">
        <f>COUNTIFS('Envy Experience - Input'!$P$8:$P$27,'Envy Experience - Results'!A41,'Envy Experience - Input'!$I$8:$I$27,"OS",'Envy Experience - Input'!$U$8:$U$27,"Yes",'Envy Experience - Input'!$F$8:$F$27,"&lt;&gt;Aspire",'Envy Experience - Input'!$F$8:$F$27,"&lt;&gt;Aspire Toric")</f>
        <v>0</v>
      </c>
      <c r="E41" s="61" t="e">
        <f t="shared" si="9"/>
        <v>#DIV/0!</v>
      </c>
      <c r="I41" s="115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9"/>
    </row>
    <row r="42" spans="1:29" x14ac:dyDescent="0.35">
      <c r="A42" s="56" t="s">
        <v>78</v>
      </c>
      <c r="B42" s="60">
        <f>COUNTIFS('Envy Experience - Input'!$P$8:$P$27,'Envy Experience - Results'!A42,'Envy Experience - Input'!$I$8:$I$27,"OD",'Envy Experience - Input'!$U$8:$U$27,"Yes",'Envy Experience - Input'!$F$8:$F$27,"&lt;&gt;Aspire",'Envy Experience - Input'!$F$8:$F$27,"&lt;&gt;Aspire Toric")</f>
        <v>0</v>
      </c>
      <c r="C42" s="61" t="e">
        <f t="shared" si="10"/>
        <v>#DIV/0!</v>
      </c>
      <c r="D42" s="60">
        <f>COUNTIFS('Envy Experience - Input'!$P$8:$P$27,'Envy Experience - Results'!A42,'Envy Experience - Input'!$I$8:$I$27,"OS",'Envy Experience - Input'!$U$8:$U$27,"Yes",'Envy Experience - Input'!$F$8:$F$27,"&lt;&gt;Aspire",'Envy Experience - Input'!$F$8:$F$27,"&lt;&gt;Aspire Toric")</f>
        <v>0</v>
      </c>
      <c r="E42" s="61" t="e">
        <f t="shared" si="9"/>
        <v>#DIV/0!</v>
      </c>
      <c r="I42" s="115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9"/>
    </row>
    <row r="43" spans="1:29" ht="16" x14ac:dyDescent="0.35">
      <c r="A43" s="51"/>
      <c r="B43" s="54">
        <f>SUM(B35:B42)</f>
        <v>0</v>
      </c>
      <c r="C43" s="59" t="e">
        <f t="shared" ref="C43" si="11">SUM(C35:C42)</f>
        <v>#DIV/0!</v>
      </c>
      <c r="D43" s="54">
        <f t="shared" ref="D43" si="12">SUM(D35:D42)</f>
        <v>0</v>
      </c>
      <c r="E43" s="59" t="e">
        <f t="shared" ref="E43" si="13">SUM(E35:E42)</f>
        <v>#DIV/0!</v>
      </c>
      <c r="I43" s="115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9"/>
    </row>
    <row r="44" spans="1:29" ht="16" x14ac:dyDescent="0.35">
      <c r="A44" s="197" t="s">
        <v>14</v>
      </c>
      <c r="B44" s="197"/>
      <c r="C44" s="197"/>
      <c r="D44" s="197"/>
      <c r="E44" s="197"/>
      <c r="I44" s="115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9"/>
    </row>
    <row r="45" spans="1:29" x14ac:dyDescent="0.35">
      <c r="A45" s="56" t="s">
        <v>68</v>
      </c>
      <c r="B45" s="60" t="s">
        <v>69</v>
      </c>
      <c r="C45" s="61" t="s">
        <v>70</v>
      </c>
      <c r="D45" s="60" t="s">
        <v>71</v>
      </c>
      <c r="E45" s="61" t="s">
        <v>72</v>
      </c>
      <c r="I45" s="115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9"/>
    </row>
    <row r="46" spans="1:29" x14ac:dyDescent="0.35">
      <c r="A46" s="65" t="s">
        <v>79</v>
      </c>
      <c r="B46" s="60">
        <f>COUNTIFS('Envy Experience - Input'!$Q$8:$Q$27,'Envy Experience - Results'!A46,'Envy Experience - Input'!$I$8:$I$27,"OD",'Envy Experience - Input'!$U$8:$U$27,"Yes",'Envy Experience - Input'!$F$8:$F$27,"&lt;&gt;Aspire",'Envy Experience - Input'!$F$8:$F$27,"&lt;&gt;Aspire Toric")</f>
        <v>0</v>
      </c>
      <c r="C46" s="61" t="e">
        <f>B46/$B$7</f>
        <v>#DIV/0!</v>
      </c>
      <c r="D46" s="60">
        <f>COUNTIFS('Envy Experience - Input'!$Q$8:$Q$27,'Envy Experience - Results'!A46,'Envy Experience - Input'!$I$8:$I$27,"OS",'Envy Experience - Input'!$U$8:$U$27,"Yes",'Envy Experience - Input'!$F$8:$F$27,"&lt;&gt;Aspire",'Envy Experience - Input'!$F$8:$F$27,"&lt;&gt;Aspire Toric")</f>
        <v>0</v>
      </c>
      <c r="E46" s="61" t="e">
        <f t="shared" ref="E46:E53" si="14">D46/$B$6</f>
        <v>#DIV/0!</v>
      </c>
      <c r="F46" s="54" t="str">
        <f>A46</f>
        <v>J1+</v>
      </c>
      <c r="I46" s="115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9"/>
    </row>
    <row r="47" spans="1:29" x14ac:dyDescent="0.35">
      <c r="A47" s="56" t="s">
        <v>80</v>
      </c>
      <c r="B47" s="60">
        <f>COUNTIFS('Envy Experience - Input'!$Q$8:$Q$27,'Envy Experience - Results'!A47,'Envy Experience - Input'!$I$8:$I$27,"OD",'Envy Experience - Input'!$U$8:$U$27,"Yes",'Envy Experience - Input'!$F$8:$F$27,"&lt;&gt;Aspire",'Envy Experience - Input'!$F$8:$F$27,"&lt;&gt;Aspire Toric")</f>
        <v>0</v>
      </c>
      <c r="C47" s="61" t="e">
        <f t="shared" ref="C47:C53" si="15">B47/$B$7</f>
        <v>#DIV/0!</v>
      </c>
      <c r="D47" s="60">
        <f>COUNTIFS('Envy Experience - Input'!$Q$8:$Q$27,'Envy Experience - Results'!A47,'Envy Experience - Input'!$I$8:$I$27,"OS",'Envy Experience - Input'!$U$8:$U$27,"Yes",'Envy Experience - Input'!$F$8:$F$27,"&lt;&gt;Aspire",'Envy Experience - Input'!$F$8:$F$27,"&lt;&gt;Aspire Toric")</f>
        <v>0</v>
      </c>
      <c r="E47" s="61" t="e">
        <f t="shared" si="14"/>
        <v>#DIV/0!</v>
      </c>
      <c r="F47" s="54" t="str">
        <f t="shared" ref="F47:F53" si="16">A47</f>
        <v>J1</v>
      </c>
      <c r="I47" s="115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9"/>
    </row>
    <row r="48" spans="1:29" x14ac:dyDescent="0.35">
      <c r="A48" s="56" t="s">
        <v>81</v>
      </c>
      <c r="B48" s="60">
        <f>COUNTIFS('Envy Experience - Input'!$Q$8:$Q$27,'Envy Experience - Results'!A48,'Envy Experience - Input'!$I$8:$I$27,"OD",'Envy Experience - Input'!$U$8:$U$27,"Yes",'Envy Experience - Input'!$F$8:$F$27,"&lt;&gt;Aspire",'Envy Experience - Input'!$F$8:$F$27,"&lt;&gt;Aspire Toric")</f>
        <v>0</v>
      </c>
      <c r="C48" s="61" t="e">
        <f t="shared" si="15"/>
        <v>#DIV/0!</v>
      </c>
      <c r="D48" s="60">
        <f>COUNTIFS('Envy Experience - Input'!$Q$8:$Q$27,'Envy Experience - Results'!A48,'Envy Experience - Input'!$I$8:$I$27,"OS",'Envy Experience - Input'!$U$8:$U$27,"Yes",'Envy Experience - Input'!$F$8:$F$27,"&lt;&gt;Aspire",'Envy Experience - Input'!$F$8:$F$27,"&lt;&gt;Aspire Toric")</f>
        <v>0</v>
      </c>
      <c r="E48" s="61" t="e">
        <f t="shared" si="14"/>
        <v>#DIV/0!</v>
      </c>
      <c r="F48" s="54" t="str">
        <f t="shared" si="16"/>
        <v>J2</v>
      </c>
      <c r="I48" s="115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9"/>
    </row>
    <row r="49" spans="1:29" x14ac:dyDescent="0.35">
      <c r="A49" s="56" t="s">
        <v>29</v>
      </c>
      <c r="B49" s="60">
        <f>COUNTIFS('Envy Experience - Input'!$Q$8:$Q$27,'Envy Experience - Results'!A49,'Envy Experience - Input'!$I$8:$I$27,"OD",'Envy Experience - Input'!$U$8:$U$27,"Yes",'Envy Experience - Input'!$F$8:$F$27,"&lt;&gt;Aspire",'Envy Experience - Input'!$F$8:$F$27,"&lt;&gt;Aspire Toric")</f>
        <v>0</v>
      </c>
      <c r="C49" s="61" t="e">
        <f t="shared" si="15"/>
        <v>#DIV/0!</v>
      </c>
      <c r="D49" s="60">
        <f>COUNTIFS('Envy Experience - Input'!$Q$8:$Q$27,'Envy Experience - Results'!A49,'Envy Experience - Input'!$I$8:$I$27,"OS",'Envy Experience - Input'!$U$8:$U$27,"Yes",'Envy Experience - Input'!$F$8:$F$27,"&lt;&gt;Aspire",'Envy Experience - Input'!$F$8:$F$27,"&lt;&gt;Aspire Toric")</f>
        <v>0</v>
      </c>
      <c r="E49" s="61" t="e">
        <f t="shared" si="14"/>
        <v>#DIV/0!</v>
      </c>
      <c r="F49" s="54" t="str">
        <f t="shared" si="16"/>
        <v>J3</v>
      </c>
      <c r="I49" s="115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9"/>
    </row>
    <row r="50" spans="1:29" x14ac:dyDescent="0.35">
      <c r="A50" s="56" t="s">
        <v>82</v>
      </c>
      <c r="B50" s="60">
        <f>COUNTIFS('Envy Experience - Input'!$Q$8:$Q$27,'Envy Experience - Results'!A50,'Envy Experience - Input'!$I$8:$I$27,"OD",'Envy Experience - Input'!$U$8:$U$27,"Yes",'Envy Experience - Input'!$F$8:$F$27,"&lt;&gt;Aspire",'Envy Experience - Input'!$F$8:$F$27,"&lt;&gt;Aspire Toric")</f>
        <v>0</v>
      </c>
      <c r="C50" s="61" t="e">
        <f t="shared" si="15"/>
        <v>#DIV/0!</v>
      </c>
      <c r="D50" s="60">
        <f>COUNTIFS('Envy Experience - Input'!$Q$8:$Q$27,'Envy Experience - Results'!A50,'Envy Experience - Input'!$I$8:$I$27,"OS",'Envy Experience - Input'!$U$8:$U$27,"Yes",'Envy Experience - Input'!$F$8:$F$27,"&lt;&gt;Aspire",'Envy Experience - Input'!$F$8:$F$27,"&lt;&gt;Aspire Toric")</f>
        <v>0</v>
      </c>
      <c r="E50" s="61" t="e">
        <f t="shared" si="14"/>
        <v>#DIV/0!</v>
      </c>
      <c r="F50" s="54" t="str">
        <f t="shared" si="16"/>
        <v>J5</v>
      </c>
      <c r="I50" s="115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9"/>
    </row>
    <row r="51" spans="1:29" x14ac:dyDescent="0.35">
      <c r="A51" s="56" t="s">
        <v>83</v>
      </c>
      <c r="B51" s="60">
        <f>COUNTIFS('Envy Experience - Input'!$Q$8:$Q$27,'Envy Experience - Results'!A51,'Envy Experience - Input'!$I$8:$I$27,"OD",'Envy Experience - Input'!$U$8:$U$27,"Yes",'Envy Experience - Input'!$F$8:$F$27,"&lt;&gt;Aspire",'Envy Experience - Input'!$F$8:$F$27,"&lt;&gt;Aspire Toric")</f>
        <v>0</v>
      </c>
      <c r="C51" s="61" t="e">
        <f t="shared" si="15"/>
        <v>#DIV/0!</v>
      </c>
      <c r="D51" s="60">
        <f>COUNTIFS('Envy Experience - Input'!$Q$8:$Q$27,'Envy Experience - Results'!A51,'Envy Experience - Input'!$I$8:$I$27,"OS",'Envy Experience - Input'!$U$8:$U$27,"Yes",'Envy Experience - Input'!$F$8:$F$27,"&lt;&gt;Aspire",'Envy Experience - Input'!$F$8:$F$27,"&lt;&gt;Aspire Toric")</f>
        <v>0</v>
      </c>
      <c r="E51" s="61" t="e">
        <f t="shared" si="14"/>
        <v>#DIV/0!</v>
      </c>
      <c r="F51" s="54" t="str">
        <f t="shared" si="16"/>
        <v>J6</v>
      </c>
      <c r="I51" s="115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9"/>
    </row>
    <row r="52" spans="1:29" x14ac:dyDescent="0.35">
      <c r="A52" s="56" t="s">
        <v>84</v>
      </c>
      <c r="B52" s="60">
        <f>COUNTIFS('Envy Experience - Input'!$Q$8:$Q$27,'Envy Experience - Results'!A52,'Envy Experience - Input'!$I$8:$I$27,"OD",'Envy Experience - Input'!$U$8:$U$27,"Yes",'Envy Experience - Input'!$F$8:$F$27,"&lt;&gt;Aspire",'Envy Experience - Input'!$F$8:$F$27,"&lt;&gt;Aspire Toric")</f>
        <v>0</v>
      </c>
      <c r="C52" s="61" t="e">
        <f t="shared" si="15"/>
        <v>#DIV/0!</v>
      </c>
      <c r="D52" s="60">
        <f>COUNTIFS('Envy Experience - Input'!$Q$8:$Q$27,'Envy Experience - Results'!A52,'Envy Experience - Input'!$I$8:$I$27,"OS",'Envy Experience - Input'!$U$8:$U$27,"Yes",'Envy Experience - Input'!$F$8:$F$27,"&lt;&gt;Aspire",'Envy Experience - Input'!$F$8:$F$27,"&lt;&gt;Aspire Toric")</f>
        <v>0</v>
      </c>
      <c r="E52" s="61" t="e">
        <f t="shared" si="14"/>
        <v>#DIV/0!</v>
      </c>
      <c r="F52" s="54" t="str">
        <f t="shared" si="16"/>
        <v>J8</v>
      </c>
      <c r="I52" s="115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9"/>
    </row>
    <row r="53" spans="1:29" x14ac:dyDescent="0.35">
      <c r="A53" s="56" t="s">
        <v>85</v>
      </c>
      <c r="B53" s="60">
        <f>COUNTIFS('Envy Experience - Input'!$Q$8:$Q$27,'Envy Experience - Results'!A53,'Envy Experience - Input'!$I$8:$I$27,"OD",'Envy Experience - Input'!$U$8:$U$27,"Yes",'Envy Experience - Input'!$F$8:$F$27,"&lt;&gt;Aspire",'Envy Experience - Input'!$F$8:$F$27,"&lt;&gt;Aspire Toric")</f>
        <v>0</v>
      </c>
      <c r="C53" s="61" t="e">
        <f t="shared" si="15"/>
        <v>#DIV/0!</v>
      </c>
      <c r="D53" s="60">
        <f>COUNTIFS('Envy Experience - Input'!$Q$8:$Q$27,'Envy Experience - Results'!A53,'Envy Experience - Input'!$I$8:$I$27,"OS",'Envy Experience - Input'!$U$8:$U$27,"Yes",'Envy Experience - Input'!$F$8:$F$27,"&lt;&gt;Aspire",'Envy Experience - Input'!$F$8:$F$27,"&lt;&gt;Aspire Toric")</f>
        <v>0</v>
      </c>
      <c r="E53" s="61" t="e">
        <f t="shared" si="14"/>
        <v>#DIV/0!</v>
      </c>
      <c r="F53" s="54" t="str">
        <f t="shared" si="16"/>
        <v>J10</v>
      </c>
      <c r="I53" s="115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9"/>
    </row>
    <row r="54" spans="1:29" x14ac:dyDescent="0.35">
      <c r="B54" s="54">
        <f>SUM(B46:B53)</f>
        <v>0</v>
      </c>
      <c r="C54" s="59" t="e">
        <f t="shared" ref="C54" si="17">SUM(C46:C53)</f>
        <v>#DIV/0!</v>
      </c>
      <c r="D54" s="54">
        <f t="shared" ref="D54" si="18">SUM(D46:D53)</f>
        <v>0</v>
      </c>
      <c r="E54" s="59" t="e">
        <f t="shared" ref="E54" si="19">SUM(E46:E53)</f>
        <v>#DIV/0!</v>
      </c>
      <c r="I54" s="115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9"/>
    </row>
    <row r="55" spans="1:29" x14ac:dyDescent="0.35">
      <c r="I55" s="115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9"/>
    </row>
    <row r="56" spans="1:29" ht="16" x14ac:dyDescent="0.35">
      <c r="A56" s="197" t="s">
        <v>65</v>
      </c>
      <c r="B56" s="197"/>
      <c r="C56" s="197"/>
      <c r="D56" s="197"/>
      <c r="E56" s="197"/>
      <c r="I56" s="115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9"/>
    </row>
    <row r="57" spans="1:29" x14ac:dyDescent="0.35">
      <c r="A57" s="56" t="s">
        <v>68</v>
      </c>
      <c r="B57" s="61" t="s">
        <v>11</v>
      </c>
      <c r="C57" s="60" t="s">
        <v>12</v>
      </c>
      <c r="D57" s="61" t="s">
        <v>13</v>
      </c>
      <c r="E57" t="s">
        <v>14</v>
      </c>
      <c r="I57" s="115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9"/>
    </row>
    <row r="58" spans="1:29" ht="15" thickBot="1" x14ac:dyDescent="0.4">
      <c r="A58" s="56" t="s">
        <v>73</v>
      </c>
      <c r="B58" s="60">
        <f>COUNTIFS('Envy Experience - Input'!$N$29:$N$38,'Envy Experience - Results'!A58,'Envy Experience - Input'!$U$29:$U$38,"Yes",'Envy Experience - Input'!$F$29:$F$38,"=Aspire/Toric")</f>
        <v>0</v>
      </c>
      <c r="C58" s="60">
        <f>COUNTIFS('Envy Experience - Input'!$O$29:$O$38,'Envy Experience - Results'!A58,'Envy Experience - Input'!$U$29:$U$38,"Yes",'Envy Experience - Input'!$F$29:$F$38,"=Aspire/Toric")</f>
        <v>0</v>
      </c>
      <c r="D58" s="60">
        <f>COUNTIFS('Envy Experience - Input'!$P$29:$P$38,'Envy Experience - Results'!A58,'Envy Experience - Input'!$U$29:$U$38,"Yes",'Envy Experience - Input'!$F$29:$F$38,"=Aspire/Toric")</f>
        <v>0</v>
      </c>
      <c r="E58" s="60">
        <f>COUNTIFS('Envy Experience - Input'!$Q$29:$Q$38,F58,'Envy Experience - Input'!$U$29:$U$38,"Yes",'Envy Experience - Input'!$F$29:$F$38,"=Aspire/Toric")</f>
        <v>0</v>
      </c>
      <c r="F58" s="63" t="s">
        <v>79</v>
      </c>
      <c r="G58" s="64"/>
      <c r="H58" s="64"/>
      <c r="I58" s="116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1"/>
    </row>
    <row r="59" spans="1:29" x14ac:dyDescent="0.35">
      <c r="A59" s="56" t="s">
        <v>27</v>
      </c>
      <c r="B59" s="60">
        <f>COUNTIFS('Envy Experience - Input'!$N$29:$N$38,'Envy Experience - Results'!A59,'Envy Experience - Input'!$U$29:$U$38,"Yes",'Envy Experience - Input'!$F$29:$F$38,"=Aspire/Toric")</f>
        <v>0</v>
      </c>
      <c r="C59" s="60">
        <f>COUNTIFS('Envy Experience - Input'!$O$29:$O$38,'Envy Experience - Results'!A59,'Envy Experience - Input'!$U$29:$U$38,"Yes",'Envy Experience - Input'!$F$29:$F$38,"=Aspire/Toric")</f>
        <v>0</v>
      </c>
      <c r="D59" s="60">
        <f>COUNTIFS('Envy Experience - Input'!$P$29:$P$38,'Envy Experience - Results'!A59,'Envy Experience - Input'!$U$29:$U$38,"Yes",'Envy Experience - Input'!$F$29:$F$38,"=Aspire/Toric")</f>
        <v>0</v>
      </c>
      <c r="E59" s="60">
        <f>COUNTIFS('Envy Experience - Input'!$Q$29:$Q$38,F59,'Envy Experience - Input'!$U$29:$U$38,"Yes",'Envy Experience - Input'!$F$29:$F$38,"=Aspire/Toric")</f>
        <v>0</v>
      </c>
      <c r="F59" s="63" t="s">
        <v>80</v>
      </c>
      <c r="G59" s="64"/>
      <c r="H59" s="64"/>
      <c r="I59" s="64"/>
      <c r="J59" s="64"/>
    </row>
    <row r="60" spans="1:29" x14ac:dyDescent="0.35">
      <c r="A60" s="56" t="s">
        <v>28</v>
      </c>
      <c r="B60" s="60">
        <f>COUNTIFS('Envy Experience - Input'!$N$29:$N$38,'Envy Experience - Results'!A60,'Envy Experience - Input'!$U$29:$U$38,"Yes",'Envy Experience - Input'!$F$29:$F$38,"=Aspire/Toric")</f>
        <v>0</v>
      </c>
      <c r="C60" s="60">
        <f>COUNTIFS('Envy Experience - Input'!$O$29:$O$38,'Envy Experience - Results'!A60,'Envy Experience - Input'!$U$29:$U$38,"Yes",'Envy Experience - Input'!$F$29:$F$38,"=Aspire/Toric")</f>
        <v>0</v>
      </c>
      <c r="D60" s="60">
        <f>COUNTIFS('Envy Experience - Input'!$P$29:$P$38,'Envy Experience - Results'!A60,'Envy Experience - Input'!$U$29:$U$38,"Yes",'Envy Experience - Input'!$F$29:$F$38,"=Aspire/Toric")</f>
        <v>0</v>
      </c>
      <c r="E60" s="60">
        <f>COUNTIFS('Envy Experience - Input'!$Q$29:$Q$38,F60,'Envy Experience - Input'!$U$29:$U$38,"Yes",'Envy Experience - Input'!$F$29:$F$38,"=Aspire/Toric")</f>
        <v>0</v>
      </c>
      <c r="F60" s="63" t="s">
        <v>81</v>
      </c>
      <c r="G60" s="64"/>
      <c r="H60" s="64"/>
      <c r="I60" s="64"/>
    </row>
    <row r="61" spans="1:29" x14ac:dyDescent="0.35">
      <c r="A61" s="56" t="s">
        <v>74</v>
      </c>
      <c r="B61" s="60">
        <f>COUNTIFS('Envy Experience - Input'!$N$29:$N$38,'Envy Experience - Results'!A61,'Envy Experience - Input'!$U$29:$U$38,"Yes",'Envy Experience - Input'!$F$29:$F$38,"=Aspire/Toric")</f>
        <v>0</v>
      </c>
      <c r="C61" s="60">
        <f>COUNTIFS('Envy Experience - Input'!$O$29:$O$38,'Envy Experience - Results'!A61,'Envy Experience - Input'!$U$29:$U$38,"Yes",'Envy Experience - Input'!$F$29:$F$38,"=Aspire/Toric")</f>
        <v>0</v>
      </c>
      <c r="D61" s="60">
        <f>COUNTIFS('Envy Experience - Input'!$P$29:$P$38,'Envy Experience - Results'!A61,'Envy Experience - Input'!$U$29:$U$38,"Yes",'Envy Experience - Input'!$F$29:$F$38,"=Aspire/Toric")</f>
        <v>0</v>
      </c>
      <c r="E61" s="60">
        <f>COUNTIFS('Envy Experience - Input'!$Q$29:$Q$38,F61,'Envy Experience - Input'!$U$29:$U$38,"Yes",'Envy Experience - Input'!$F$29:$F$38,"=Aspire/Toric")</f>
        <v>0</v>
      </c>
      <c r="F61" s="54" t="s">
        <v>29</v>
      </c>
    </row>
    <row r="62" spans="1:29" x14ac:dyDescent="0.35">
      <c r="A62" s="56" t="s">
        <v>75</v>
      </c>
      <c r="B62" s="60">
        <f>COUNTIFS('Envy Experience - Input'!$N$29:$N$38,'Envy Experience - Results'!A62,'Envy Experience - Input'!$U$29:$U$38,"Yes",'Envy Experience - Input'!$F$29:$F$38,"=Aspire/Toric")</f>
        <v>0</v>
      </c>
      <c r="C62" s="60">
        <f>COUNTIFS('Envy Experience - Input'!$O$29:$O$38,'Envy Experience - Results'!A62,'Envy Experience - Input'!$U$29:$U$38,"Yes",'Envy Experience - Input'!$F$29:$F$38,"=Aspire/Toric")</f>
        <v>0</v>
      </c>
      <c r="D62" s="60">
        <f>COUNTIFS('Envy Experience - Input'!$P$29:$P$38,'Envy Experience - Results'!A62,'Envy Experience - Input'!$U$29:$U$38,"Yes",'Envy Experience - Input'!$F$29:$F$38,"=Aspire/Toric")</f>
        <v>0</v>
      </c>
      <c r="E62" s="60">
        <f>COUNTIFS('Envy Experience - Input'!$Q$29:$Q$38,F62,'Envy Experience - Input'!$U$29:$U$38,"Yes",'Envy Experience - Input'!$F$29:$F$38,"=Aspire/Toric")</f>
        <v>0</v>
      </c>
      <c r="F62" s="54" t="s">
        <v>82</v>
      </c>
    </row>
    <row r="63" spans="1:29" x14ac:dyDescent="0.35">
      <c r="A63" s="56" t="s">
        <v>76</v>
      </c>
      <c r="B63" s="60">
        <f>COUNTIFS('Envy Experience - Input'!$N$29:$N$38,'Envy Experience - Results'!A63,'Envy Experience - Input'!$U$29:$U$38,"Yes",'Envy Experience - Input'!$F$29:$F$38,"=Aspire/Toric")</f>
        <v>0</v>
      </c>
      <c r="C63" s="60">
        <f>COUNTIFS('Envy Experience - Input'!$O$29:$O$38,'Envy Experience - Results'!A63,'Envy Experience - Input'!$U$29:$U$38,"Yes",'Envy Experience - Input'!$F$29:$F$38,"=Aspire/Toric")</f>
        <v>0</v>
      </c>
      <c r="D63" s="60">
        <f>COUNTIFS('Envy Experience - Input'!$P$29:$P$38,'Envy Experience - Results'!A63,'Envy Experience - Input'!$U$29:$U$38,"Yes",'Envy Experience - Input'!$F$29:$F$38,"=Aspire/Toric")</f>
        <v>0</v>
      </c>
      <c r="E63" s="60">
        <f>COUNTIFS('Envy Experience - Input'!$Q$29:$Q$38,F63,'Envy Experience - Input'!$U$29:$U$38,"Yes",'Envy Experience - Input'!$F$29:$F$38,"=Aspire/Toric")</f>
        <v>0</v>
      </c>
      <c r="F63" s="54" t="s">
        <v>83</v>
      </c>
    </row>
    <row r="64" spans="1:29" x14ac:dyDescent="0.35">
      <c r="A64" s="56" t="s">
        <v>77</v>
      </c>
      <c r="B64" s="60">
        <f>COUNTIFS('Envy Experience - Input'!$N$29:$N$38,'Envy Experience - Results'!A64,'Envy Experience - Input'!$U$29:$U$38,"Yes",'Envy Experience - Input'!$F$29:$F$38,"=Aspire/Toric")</f>
        <v>0</v>
      </c>
      <c r="C64" s="60">
        <f>COUNTIFS('Envy Experience - Input'!$O$29:$O$38,'Envy Experience - Results'!A64,'Envy Experience - Input'!$U$29:$U$38,"Yes",'Envy Experience - Input'!$F$29:$F$38,"=Aspire/Toric")</f>
        <v>0</v>
      </c>
      <c r="D64" s="60">
        <f>COUNTIFS('Envy Experience - Input'!$P$29:$P$38,'Envy Experience - Results'!A64,'Envy Experience - Input'!$U$29:$U$38,"Yes",'Envy Experience - Input'!$F$29:$F$38,"=Aspire/Toric")</f>
        <v>0</v>
      </c>
      <c r="E64" s="60">
        <f>COUNTIFS('Envy Experience - Input'!$Q$29:$Q$38,F64,'Envy Experience - Input'!$U$29:$U$38,"Yes",'Envy Experience - Input'!$F$29:$F$38,"=Aspire/Toric")</f>
        <v>0</v>
      </c>
      <c r="F64" s="54" t="s">
        <v>84</v>
      </c>
    </row>
    <row r="65" spans="1:6" x14ac:dyDescent="0.35">
      <c r="A65" s="56" t="s">
        <v>78</v>
      </c>
      <c r="B65" s="60">
        <f>COUNTIFS('Envy Experience - Input'!$N$29:$N$38,'Envy Experience - Results'!A65,'Envy Experience - Input'!$U$29:$U$38,"Yes",'Envy Experience - Input'!$F$29:$F$38,"=Aspire/Toric")</f>
        <v>0</v>
      </c>
      <c r="C65" s="60">
        <f>COUNTIFS('Envy Experience - Input'!$O$29:$O$38,'Envy Experience - Results'!A65,'Envy Experience - Input'!$U$29:$U$38,"Yes",'Envy Experience - Input'!$F$29:$F$38,"=Aspire/Toric")</f>
        <v>0</v>
      </c>
      <c r="D65" s="60">
        <f>COUNTIFS('Envy Experience - Input'!$P$29:$P$38,'Envy Experience - Results'!A65,'Envy Experience - Input'!$U$29:$U$38,"Yes",'Envy Experience - Input'!$F$29:$F$38,"=Aspire/Toric")</f>
        <v>0</v>
      </c>
      <c r="E65" s="60">
        <f>COUNTIFS('Envy Experience - Input'!$Q$29:$Q$38,F65,'Envy Experience - Input'!$U$29:$U$38,"Yes",'Envy Experience - Input'!$F$29:$F$38,"=Aspire/Toric")</f>
        <v>0</v>
      </c>
      <c r="F65" s="54" t="s">
        <v>85</v>
      </c>
    </row>
    <row r="66" spans="1:6" ht="16" x14ac:dyDescent="0.35">
      <c r="A66" s="51"/>
      <c r="B66" s="54">
        <f>COUNTIFS('Envy Experience - Input'!$N$29:$N$38,'Envy Experience - Results'!A66,'Envy Experience - Input'!$U$29:$U$38,"Yes",'Envy Experience - Input'!$F$29:$F$38,"=Aspire/Toric")</f>
        <v>0</v>
      </c>
      <c r="C66" s="60">
        <f>COUNTIFS('Envy Experience - Input'!$O$29:$O$38,'Envy Experience - Results'!A66,'Envy Experience - Input'!$U$29:$U$38,"Yes",'Envy Experience - Input'!$F$29:$F$38,"=Aspire/Toric")</f>
        <v>0</v>
      </c>
      <c r="D66" s="60">
        <f>COUNTIFS('Envy Experience - Input'!$P$29:$P$38,'Envy Experience - Results'!A66,'Envy Experience - Input'!$U$29:$U$38,"Yes",'Envy Experience - Input'!$F$29:$F$38,"=Aspire/Toric")</f>
        <v>0</v>
      </c>
      <c r="E66" s="60">
        <f>COUNTIFS('Envy Experience - Input'!$Q$29:$Q$38,F66,'Envy Experience - Input'!$U$29:$U$38,"Yes",'Envy Experience - Input'!$F$29:$F$38,"=Aspire/Toric")</f>
        <v>0</v>
      </c>
    </row>
    <row r="67" spans="1:6" x14ac:dyDescent="0.35">
      <c r="C67" s="62"/>
      <c r="E67" s="62"/>
    </row>
    <row r="68" spans="1:6" x14ac:dyDescent="0.35">
      <c r="B68"/>
      <c r="C68"/>
      <c r="D68"/>
      <c r="E68" s="62"/>
    </row>
    <row r="69" spans="1:6" x14ac:dyDescent="0.35">
      <c r="C69" s="54"/>
      <c r="E69" s="62"/>
    </row>
    <row r="70" spans="1:6" ht="16" x14ac:dyDescent="0.35">
      <c r="A70" s="198" t="s">
        <v>86</v>
      </c>
      <c r="B70" s="199"/>
      <c r="C70" s="199"/>
      <c r="D70" s="199"/>
      <c r="E70" s="200"/>
    </row>
    <row r="71" spans="1:6" x14ac:dyDescent="0.35">
      <c r="A71" s="56" t="s">
        <v>68</v>
      </c>
      <c r="B71" s="60" t="s">
        <v>69</v>
      </c>
      <c r="C71" s="61" t="s">
        <v>70</v>
      </c>
      <c r="D71" s="60" t="s">
        <v>71</v>
      </c>
      <c r="E71" s="61" t="s">
        <v>72</v>
      </c>
    </row>
    <row r="72" spans="1:6" x14ac:dyDescent="0.35">
      <c r="A72" s="56" t="s">
        <v>73</v>
      </c>
      <c r="B72" s="60">
        <f>COUNTIFS('Envy Experience - Input'!$N$8:$N$27,'Envy Experience - Results'!A72,'Envy Experience - Input'!$I$8:$I$27,"OD",'Envy Experience - Input'!$U$8:$U$27,"Yes",'Envy Experience - Input'!$F$8:$F$27,"=Aspire")+COUNTIFS('Envy Experience - Input'!$N$8:$N$27,'Envy Experience - Results'!A72,'Envy Experience - Input'!$I$8:$I$27,"OD",'Envy Experience - Input'!$U$8:$U$27,"Yes",'Envy Experience - Input'!$F$8:$F$27,"=Aspire Toric")</f>
        <v>0</v>
      </c>
      <c r="C72" s="61" t="e">
        <f>B72/$B$7</f>
        <v>#DIV/0!</v>
      </c>
      <c r="D72" s="60">
        <f>COUNTIFS('Envy Experience - Input'!$N$8:$N$27,'Envy Experience - Results'!A72,'Envy Experience - Input'!$I$8:$I$27,"OS",'Envy Experience - Input'!$U$8:$U$27,"Yes",'Envy Experience - Input'!$F$8:$F$27,"=Aspire")+COUNTIFS('Envy Experience - Input'!$N$8:$N$27,'Envy Experience - Results'!A72,'Envy Experience - Input'!$I$8:$I$27,"OS",'Envy Experience - Input'!$U$8:$U$27,"Yes",'Envy Experience - Input'!$F$8:$F$27,"=Aspire Toric")</f>
        <v>0</v>
      </c>
      <c r="E72" s="61" t="e">
        <f>D72/$B$6</f>
        <v>#DIV/0!</v>
      </c>
    </row>
    <row r="73" spans="1:6" x14ac:dyDescent="0.35">
      <c r="A73" s="56" t="s">
        <v>27</v>
      </c>
      <c r="B73" s="60">
        <f>COUNTIFS('Envy Experience - Input'!$N$8:$N$27,'Envy Experience - Results'!A73,'Envy Experience - Input'!$I$8:$I$27,"OD",'Envy Experience - Input'!$U$8:$U$27,"Yes",'Envy Experience - Input'!$F$8:$F$27,"=Aspire")+COUNTIFS('Envy Experience - Input'!$N$8:$N$27,'Envy Experience - Results'!A73,'Envy Experience - Input'!$I$8:$I$27,"OD",'Envy Experience - Input'!$U$8:$U$27,"Yes",'Envy Experience - Input'!$F$8:$F$27,"=Aspire Toric")</f>
        <v>0</v>
      </c>
      <c r="C73" s="61" t="e">
        <f t="shared" ref="C73:C79" si="20">B73/$B$7</f>
        <v>#DIV/0!</v>
      </c>
      <c r="D73" s="60">
        <f>COUNTIFS('Envy Experience - Input'!$N$8:$N$27,'Envy Experience - Results'!A73,'Envy Experience - Input'!$I$8:$I$27,"OS",'Envy Experience - Input'!$U$8:$U$27,"Yes",'Envy Experience - Input'!$F$8:$F$27,"=Aspire")+COUNTIFS('Envy Experience - Input'!$N$8:$N$27,'Envy Experience - Results'!A73,'Envy Experience - Input'!$I$8:$I$27,"OS",'Envy Experience - Input'!$U$8:$U$27,"Yes",'Envy Experience - Input'!$F$8:$F$27,"=Aspire Toric")</f>
        <v>0</v>
      </c>
      <c r="E73" s="61" t="e">
        <f t="shared" ref="E73:E79" si="21">D73/$B$6</f>
        <v>#DIV/0!</v>
      </c>
    </row>
    <row r="74" spans="1:6" x14ac:dyDescent="0.35">
      <c r="A74" s="56" t="s">
        <v>28</v>
      </c>
      <c r="B74" s="60">
        <f>COUNTIFS('Envy Experience - Input'!$N$8:$N$27,'Envy Experience - Results'!A74,'Envy Experience - Input'!$I$8:$I$27,"OD",'Envy Experience - Input'!$U$8:$U$27,"Yes",'Envy Experience - Input'!$F$8:$F$27,"=Aspire")+COUNTIFS('Envy Experience - Input'!$N$8:$N$27,'Envy Experience - Results'!A74,'Envy Experience - Input'!$I$8:$I$27,"OD",'Envy Experience - Input'!$U$8:$U$27,"Yes",'Envy Experience - Input'!$F$8:$F$27,"=Aspire Toric")</f>
        <v>0</v>
      </c>
      <c r="C74" s="61" t="e">
        <f t="shared" si="20"/>
        <v>#DIV/0!</v>
      </c>
      <c r="D74" s="60">
        <f>COUNTIFS('Envy Experience - Input'!$N$8:$N$27,'Envy Experience - Results'!A74,'Envy Experience - Input'!$I$8:$I$27,"OS",'Envy Experience - Input'!$U$8:$U$27,"Yes",'Envy Experience - Input'!$F$8:$F$27,"=Aspire")+COUNTIFS('Envy Experience - Input'!$N$8:$N$27,'Envy Experience - Results'!A74,'Envy Experience - Input'!$I$8:$I$27,"OS",'Envy Experience - Input'!$U$8:$U$27,"Yes",'Envy Experience - Input'!$F$8:$F$27,"=Aspire Toric")</f>
        <v>0</v>
      </c>
      <c r="E74" s="61" t="e">
        <f t="shared" si="21"/>
        <v>#DIV/0!</v>
      </c>
    </row>
    <row r="75" spans="1:6" x14ac:dyDescent="0.35">
      <c r="A75" s="56" t="s">
        <v>74</v>
      </c>
      <c r="B75" s="60">
        <f>COUNTIFS('Envy Experience - Input'!$N$8:$N$27,'Envy Experience - Results'!A75,'Envy Experience - Input'!$I$8:$I$27,"OD",'Envy Experience - Input'!$U$8:$U$27,"Yes",'Envy Experience - Input'!$F$8:$F$27,"=Aspire")+COUNTIFS('Envy Experience - Input'!$N$8:$N$27,'Envy Experience - Results'!A75,'Envy Experience - Input'!$I$8:$I$27,"OD",'Envy Experience - Input'!$U$8:$U$27,"Yes",'Envy Experience - Input'!$F$8:$F$27,"=Aspire Toric")</f>
        <v>0</v>
      </c>
      <c r="C75" s="61" t="e">
        <f t="shared" si="20"/>
        <v>#DIV/0!</v>
      </c>
      <c r="D75" s="60">
        <f>COUNTIFS('Envy Experience - Input'!$N$8:$N$27,'Envy Experience - Results'!A75,'Envy Experience - Input'!$I$8:$I$27,"OS",'Envy Experience - Input'!$U$8:$U$27,"Yes",'Envy Experience - Input'!$F$8:$F$27,"=Aspire")+COUNTIFS('Envy Experience - Input'!$N$8:$N$27,'Envy Experience - Results'!A75,'Envy Experience - Input'!$I$8:$I$27,"OS",'Envy Experience - Input'!$U$8:$U$27,"Yes",'Envy Experience - Input'!$F$8:$F$27,"=Aspire Toric")</f>
        <v>0</v>
      </c>
      <c r="E75" s="61" t="e">
        <f t="shared" si="21"/>
        <v>#DIV/0!</v>
      </c>
    </row>
    <row r="76" spans="1:6" x14ac:dyDescent="0.35">
      <c r="A76" s="56" t="s">
        <v>75</v>
      </c>
      <c r="B76" s="60">
        <f>COUNTIFS('Envy Experience - Input'!$N$8:$N$27,'Envy Experience - Results'!A76,'Envy Experience - Input'!$I$8:$I$27,"OD",'Envy Experience - Input'!$U$8:$U$27,"Yes",'Envy Experience - Input'!$F$8:$F$27,"=Aspire")+COUNTIFS('Envy Experience - Input'!$N$8:$N$27,'Envy Experience - Results'!A76,'Envy Experience - Input'!$I$8:$I$27,"OD",'Envy Experience - Input'!$U$8:$U$27,"Yes",'Envy Experience - Input'!$F$8:$F$27,"=Aspire Toric")</f>
        <v>0</v>
      </c>
      <c r="C76" s="61" t="e">
        <f t="shared" si="20"/>
        <v>#DIV/0!</v>
      </c>
      <c r="D76" s="60">
        <f>COUNTIFS('Envy Experience - Input'!$N$8:$N$27,'Envy Experience - Results'!A76,'Envy Experience - Input'!$I$8:$I$27,"OS",'Envy Experience - Input'!$U$8:$U$27,"Yes",'Envy Experience - Input'!$F$8:$F$27,"=Aspire")+COUNTIFS('Envy Experience - Input'!$N$8:$N$27,'Envy Experience - Results'!A76,'Envy Experience - Input'!$I$8:$I$27,"OS",'Envy Experience - Input'!$U$8:$U$27,"Yes",'Envy Experience - Input'!$F$8:$F$27,"=Aspire Toric")</f>
        <v>0</v>
      </c>
      <c r="E76" s="61" t="e">
        <f t="shared" si="21"/>
        <v>#DIV/0!</v>
      </c>
    </row>
    <row r="77" spans="1:6" x14ac:dyDescent="0.35">
      <c r="A77" s="56" t="s">
        <v>76</v>
      </c>
      <c r="B77" s="60">
        <f>COUNTIFS('Envy Experience - Input'!$N$8:$N$27,'Envy Experience - Results'!A77,'Envy Experience - Input'!$I$8:$I$27,"OD",'Envy Experience - Input'!$U$8:$U$27,"Yes",'Envy Experience - Input'!$F$8:$F$27,"=Aspire")+COUNTIFS('Envy Experience - Input'!$N$8:$N$27,'Envy Experience - Results'!A77,'Envy Experience - Input'!$I$8:$I$27,"OD",'Envy Experience - Input'!$U$8:$U$27,"Yes",'Envy Experience - Input'!$F$8:$F$27,"=Aspire Toric")</f>
        <v>0</v>
      </c>
      <c r="C77" s="61" t="e">
        <f t="shared" si="20"/>
        <v>#DIV/0!</v>
      </c>
      <c r="D77" s="60">
        <f>COUNTIFS('Envy Experience - Input'!$N$8:$N$27,'Envy Experience - Results'!A77,'Envy Experience - Input'!$I$8:$I$27,"OS",'Envy Experience - Input'!$U$8:$U$27,"Yes",'Envy Experience - Input'!$F$8:$F$27,"=Aspire")+COUNTIFS('Envy Experience - Input'!$N$8:$N$27,'Envy Experience - Results'!A77,'Envy Experience - Input'!$I$8:$I$27,"OS",'Envy Experience - Input'!$U$8:$U$27,"Yes",'Envy Experience - Input'!$F$8:$F$27,"=Aspire Toric")</f>
        <v>0</v>
      </c>
      <c r="E77" s="61" t="e">
        <f t="shared" si="21"/>
        <v>#DIV/0!</v>
      </c>
    </row>
    <row r="78" spans="1:6" x14ac:dyDescent="0.35">
      <c r="A78" s="56" t="s">
        <v>77</v>
      </c>
      <c r="B78" s="60">
        <f>COUNTIFS('Envy Experience - Input'!$N$8:$N$27,'Envy Experience - Results'!A78,'Envy Experience - Input'!$I$8:$I$27,"OD",'Envy Experience - Input'!$U$8:$U$27,"Yes",'Envy Experience - Input'!$F$8:$F$27,"=Aspire")+COUNTIFS('Envy Experience - Input'!$N$8:$N$27,'Envy Experience - Results'!A78,'Envy Experience - Input'!$I$8:$I$27,"OD",'Envy Experience - Input'!$U$8:$U$27,"Yes",'Envy Experience - Input'!$F$8:$F$27,"=Aspire Toric")</f>
        <v>0</v>
      </c>
      <c r="C78" s="61" t="e">
        <f t="shared" si="20"/>
        <v>#DIV/0!</v>
      </c>
      <c r="D78" s="60">
        <f>COUNTIFS('Envy Experience - Input'!$N$8:$N$27,'Envy Experience - Results'!A78,'Envy Experience - Input'!$I$8:$I$27,"OS",'Envy Experience - Input'!$U$8:$U$27,"Yes",'Envy Experience - Input'!$F$8:$F$27,"=Aspire")+COUNTIFS('Envy Experience - Input'!$N$8:$N$27,'Envy Experience - Results'!A78,'Envy Experience - Input'!$I$8:$I$27,"OS",'Envy Experience - Input'!$U$8:$U$27,"Yes",'Envy Experience - Input'!$F$8:$F$27,"=Aspire Toric")</f>
        <v>0</v>
      </c>
      <c r="E78" s="61" t="e">
        <f t="shared" si="21"/>
        <v>#DIV/0!</v>
      </c>
    </row>
    <row r="79" spans="1:6" x14ac:dyDescent="0.35">
      <c r="A79" s="56" t="s">
        <v>78</v>
      </c>
      <c r="B79" s="60">
        <f>COUNTIFS('Envy Experience - Input'!$N$8:$N$27,'Envy Experience - Results'!A79,'Envy Experience - Input'!$I$8:$I$27,"OD",'Envy Experience - Input'!$U$8:$U$27,"Yes",'Envy Experience - Input'!$F$8:$F$27,"=Aspire")+COUNTIFS('Envy Experience - Input'!$N$8:$N$27,'Envy Experience - Results'!A79,'Envy Experience - Input'!$I$8:$I$27,"OD",'Envy Experience - Input'!$U$8:$U$27,"Yes",'Envy Experience - Input'!$F$8:$F$27,"=Aspire Toric")</f>
        <v>0</v>
      </c>
      <c r="C79" s="61" t="e">
        <f t="shared" si="20"/>
        <v>#DIV/0!</v>
      </c>
      <c r="D79" s="60">
        <f>COUNTIFS('Envy Experience - Input'!$N$8:$N$27,'Envy Experience - Results'!A79,'Envy Experience - Input'!$I$8:$I$27,"OS",'Envy Experience - Input'!$U$8:$U$27,"Yes",'Envy Experience - Input'!$F$8:$F$27,"=Aspire")+COUNTIFS('Envy Experience - Input'!$N$8:$N$27,'Envy Experience - Results'!A79,'Envy Experience - Input'!$I$8:$I$27,"OS",'Envy Experience - Input'!$U$8:$U$27,"Yes",'Envy Experience - Input'!$F$8:$F$27,"=Aspire Toric")</f>
        <v>0</v>
      </c>
      <c r="E79" s="61" t="e">
        <f t="shared" si="21"/>
        <v>#DIV/0!</v>
      </c>
    </row>
    <row r="80" spans="1:6" x14ac:dyDescent="0.35">
      <c r="B80" s="54">
        <f>SUM(B72:B79)</f>
        <v>0</v>
      </c>
      <c r="C80" s="59" t="e">
        <f t="shared" ref="C80:E80" si="22">SUM(C72:C79)</f>
        <v>#DIV/0!</v>
      </c>
      <c r="D80" s="54">
        <f t="shared" si="22"/>
        <v>0</v>
      </c>
      <c r="E80" s="59" t="e">
        <f t="shared" si="22"/>
        <v>#DIV/0!</v>
      </c>
    </row>
    <row r="82" spans="1:5" ht="16" x14ac:dyDescent="0.35">
      <c r="A82" s="197" t="s">
        <v>12</v>
      </c>
      <c r="B82" s="197"/>
      <c r="C82" s="197"/>
      <c r="D82" s="197"/>
      <c r="E82" s="197"/>
    </row>
    <row r="83" spans="1:5" x14ac:dyDescent="0.35">
      <c r="A83" s="56" t="s">
        <v>68</v>
      </c>
      <c r="B83" s="60" t="s">
        <v>69</v>
      </c>
      <c r="C83" s="61" t="s">
        <v>70</v>
      </c>
      <c r="D83" s="60" t="s">
        <v>71</v>
      </c>
      <c r="E83" s="61" t="s">
        <v>72</v>
      </c>
    </row>
    <row r="84" spans="1:5" x14ac:dyDescent="0.35">
      <c r="A84" s="56" t="s">
        <v>73</v>
      </c>
      <c r="B84" s="60">
        <f>COUNTIFS('Envy Experience - Input'!$O$8:$O$27,'Envy Experience - Results'!A84,'Envy Experience - Input'!$I$8:$I$27,"OD",'Envy Experience - Input'!$U$8:$U$27,"Yes",'Envy Experience - Input'!$F$8:$F$27,"=Aspire")+COUNTIFS('Envy Experience - Input'!$O$8:$O$27,'Envy Experience - Results'!A84,'Envy Experience - Input'!$I$8:$I$27,"OD",'Envy Experience - Input'!$U$8:$U$27,"Yes",'Envy Experience - Input'!$F$8:$F$27,"=Aspire Toric")</f>
        <v>0</v>
      </c>
      <c r="C84" s="61" t="e">
        <f>B84/$B$7</f>
        <v>#DIV/0!</v>
      </c>
      <c r="D84" s="60">
        <f>COUNTIFS('Envy Experience - Input'!$O$8:$O$27,'Envy Experience - Results'!A84,'Envy Experience - Input'!$I$8:$I$27,"OS",'Envy Experience - Input'!$U$8:$U$27,"Yes",'Envy Experience - Input'!$F$8:$F$27,"=Aspire")+COUNTIFS('Envy Experience - Input'!$O$8:$O$27,'Envy Experience - Results'!A84,'Envy Experience - Input'!$I$8:$I$27,"OS",'Envy Experience - Input'!$U$8:$U$27,"Yes",'Envy Experience - Input'!$F$8:$F$27,"=Aspire Toric")</f>
        <v>0</v>
      </c>
      <c r="E84" s="61" t="e">
        <f t="shared" ref="E84:E91" si="23">D84/$B$6</f>
        <v>#DIV/0!</v>
      </c>
    </row>
    <row r="85" spans="1:5" x14ac:dyDescent="0.35">
      <c r="A85" s="56" t="s">
        <v>27</v>
      </c>
      <c r="B85" s="60">
        <f>COUNTIFS('Envy Experience - Input'!$O$8:$O$27,'Envy Experience - Results'!A85,'Envy Experience - Input'!$I$8:$I$27,"OD",'Envy Experience - Input'!$U$8:$U$27,"Yes",'Envy Experience - Input'!$F$8:$F$27,"=Aspire")+COUNTIFS('Envy Experience - Input'!$O$8:$O$27,'Envy Experience - Results'!A85,'Envy Experience - Input'!$I$8:$I$27,"OD",'Envy Experience - Input'!$U$8:$U$27,"Yes",'Envy Experience - Input'!$F$8:$F$27,"=Aspire Toric")</f>
        <v>0</v>
      </c>
      <c r="C85" s="61" t="e">
        <f t="shared" ref="C85:C91" si="24">B85/$B$7</f>
        <v>#DIV/0!</v>
      </c>
      <c r="D85" s="60">
        <f>COUNTIFS('Envy Experience - Input'!$O$8:$O$27,'Envy Experience - Results'!A85,'Envy Experience - Input'!$I$8:$I$27,"OS",'Envy Experience - Input'!$U$8:$U$27,"Yes",'Envy Experience - Input'!$F$8:$F$27,"=Aspire")+COUNTIFS('Envy Experience - Input'!$O$8:$O$27,'Envy Experience - Results'!A85,'Envy Experience - Input'!$I$8:$I$27,"OS",'Envy Experience - Input'!$U$8:$U$27,"Yes",'Envy Experience - Input'!$F$8:$F$27,"=Aspire Toric")</f>
        <v>0</v>
      </c>
      <c r="E85" s="61" t="e">
        <f t="shared" si="23"/>
        <v>#DIV/0!</v>
      </c>
    </row>
    <row r="86" spans="1:5" x14ac:dyDescent="0.35">
      <c r="A86" s="56" t="s">
        <v>28</v>
      </c>
      <c r="B86" s="60">
        <f>COUNTIFS('Envy Experience - Input'!$O$8:$O$27,'Envy Experience - Results'!A86,'Envy Experience - Input'!$I$8:$I$27,"OD",'Envy Experience - Input'!$U$8:$U$27,"Yes",'Envy Experience - Input'!$F$8:$F$27,"=Aspire")+COUNTIFS('Envy Experience - Input'!$O$8:$O$27,'Envy Experience - Results'!A86,'Envy Experience - Input'!$I$8:$I$27,"OD",'Envy Experience - Input'!$U$8:$U$27,"Yes",'Envy Experience - Input'!$F$8:$F$27,"=Aspire Toric")</f>
        <v>0</v>
      </c>
      <c r="C86" s="61" t="e">
        <f t="shared" si="24"/>
        <v>#DIV/0!</v>
      </c>
      <c r="D86" s="60">
        <f>COUNTIFS('Envy Experience - Input'!$O$8:$O$27,'Envy Experience - Results'!A86,'Envy Experience - Input'!$I$8:$I$27,"OS",'Envy Experience - Input'!$U$8:$U$27,"Yes",'Envy Experience - Input'!$F$8:$F$27,"=Aspire")+COUNTIFS('Envy Experience - Input'!$O$8:$O$27,'Envy Experience - Results'!A86,'Envy Experience - Input'!$I$8:$I$27,"OS",'Envy Experience - Input'!$U$8:$U$27,"Yes",'Envy Experience - Input'!$F$8:$F$27,"=Aspire Toric")</f>
        <v>0</v>
      </c>
      <c r="E86" s="61" t="e">
        <f t="shared" si="23"/>
        <v>#DIV/0!</v>
      </c>
    </row>
    <row r="87" spans="1:5" x14ac:dyDescent="0.35">
      <c r="A87" s="56" t="s">
        <v>74</v>
      </c>
      <c r="B87" s="60">
        <f>COUNTIFS('Envy Experience - Input'!$O$8:$O$27,'Envy Experience - Results'!A87,'Envy Experience - Input'!$I$8:$I$27,"OD",'Envy Experience - Input'!$U$8:$U$27,"Yes",'Envy Experience - Input'!$F$8:$F$27,"=Aspire")+COUNTIFS('Envy Experience - Input'!$O$8:$O$27,'Envy Experience - Results'!A87,'Envy Experience - Input'!$I$8:$I$27,"OD",'Envy Experience - Input'!$U$8:$U$27,"Yes",'Envy Experience - Input'!$F$8:$F$27,"=Aspire Toric")</f>
        <v>0</v>
      </c>
      <c r="C87" s="61" t="e">
        <f t="shared" si="24"/>
        <v>#DIV/0!</v>
      </c>
      <c r="D87" s="60">
        <f>COUNTIFS('Envy Experience - Input'!$O$8:$O$27,'Envy Experience - Results'!A87,'Envy Experience - Input'!$I$8:$I$27,"OS",'Envy Experience - Input'!$U$8:$U$27,"Yes",'Envy Experience - Input'!$F$8:$F$27,"=Aspire")+COUNTIFS('Envy Experience - Input'!$O$8:$O$27,'Envy Experience - Results'!A87,'Envy Experience - Input'!$I$8:$I$27,"OS",'Envy Experience - Input'!$U$8:$U$27,"Yes",'Envy Experience - Input'!$F$8:$F$27,"=Aspire Toric")</f>
        <v>0</v>
      </c>
      <c r="E87" s="61" t="e">
        <f t="shared" si="23"/>
        <v>#DIV/0!</v>
      </c>
    </row>
    <row r="88" spans="1:5" x14ac:dyDescent="0.35">
      <c r="A88" s="56" t="s">
        <v>75</v>
      </c>
      <c r="B88" s="60">
        <f>COUNTIFS('Envy Experience - Input'!$O$8:$O$27,'Envy Experience - Results'!A88,'Envy Experience - Input'!$I$8:$I$27,"OD",'Envy Experience - Input'!$U$8:$U$27,"Yes",'Envy Experience - Input'!$F$8:$F$27,"=Aspire")+COUNTIFS('Envy Experience - Input'!$O$8:$O$27,'Envy Experience - Results'!A88,'Envy Experience - Input'!$I$8:$I$27,"OD",'Envy Experience - Input'!$U$8:$U$27,"Yes",'Envy Experience - Input'!$F$8:$F$27,"=Aspire Toric")</f>
        <v>0</v>
      </c>
      <c r="C88" s="61" t="e">
        <f t="shared" si="24"/>
        <v>#DIV/0!</v>
      </c>
      <c r="D88" s="60">
        <f>COUNTIFS('Envy Experience - Input'!$O$8:$O$27,'Envy Experience - Results'!A88,'Envy Experience - Input'!$I$8:$I$27,"OS",'Envy Experience - Input'!$U$8:$U$27,"Yes",'Envy Experience - Input'!$F$8:$F$27,"=Aspire")+COUNTIFS('Envy Experience - Input'!$O$8:$O$27,'Envy Experience - Results'!A88,'Envy Experience - Input'!$I$8:$I$27,"OS",'Envy Experience - Input'!$U$8:$U$27,"Yes",'Envy Experience - Input'!$F$8:$F$27,"=Aspire Toric")</f>
        <v>0</v>
      </c>
      <c r="E88" s="61" t="e">
        <f t="shared" si="23"/>
        <v>#DIV/0!</v>
      </c>
    </row>
    <row r="89" spans="1:5" x14ac:dyDescent="0.35">
      <c r="A89" s="56" t="s">
        <v>76</v>
      </c>
      <c r="B89" s="60">
        <f>COUNTIFS('Envy Experience - Input'!$O$8:$O$27,'Envy Experience - Results'!A89,'Envy Experience - Input'!$I$8:$I$27,"OD",'Envy Experience - Input'!$U$8:$U$27,"Yes",'Envy Experience - Input'!$F$8:$F$27,"=Aspire")+COUNTIFS('Envy Experience - Input'!$O$8:$O$27,'Envy Experience - Results'!A89,'Envy Experience - Input'!$I$8:$I$27,"OD",'Envy Experience - Input'!$U$8:$U$27,"Yes",'Envy Experience - Input'!$F$8:$F$27,"=Aspire Toric")</f>
        <v>0</v>
      </c>
      <c r="C89" s="61" t="e">
        <f t="shared" si="24"/>
        <v>#DIV/0!</v>
      </c>
      <c r="D89" s="60">
        <f>COUNTIFS('Envy Experience - Input'!$O$8:$O$27,'Envy Experience - Results'!A89,'Envy Experience - Input'!$I$8:$I$27,"OS",'Envy Experience - Input'!$U$8:$U$27,"Yes",'Envy Experience - Input'!$F$8:$F$27,"=Aspire")+COUNTIFS('Envy Experience - Input'!$O$8:$O$27,'Envy Experience - Results'!A89,'Envy Experience - Input'!$I$8:$I$27,"OS",'Envy Experience - Input'!$U$8:$U$27,"Yes",'Envy Experience - Input'!$F$8:$F$27,"=Aspire Toric")</f>
        <v>0</v>
      </c>
      <c r="E89" s="61" t="e">
        <f t="shared" si="23"/>
        <v>#DIV/0!</v>
      </c>
    </row>
    <row r="90" spans="1:5" x14ac:dyDescent="0.35">
      <c r="A90" s="56" t="s">
        <v>77</v>
      </c>
      <c r="B90" s="60">
        <f>COUNTIFS('Envy Experience - Input'!$O$8:$O$27,'Envy Experience - Results'!A90,'Envy Experience - Input'!$I$8:$I$27,"OD",'Envy Experience - Input'!$U$8:$U$27,"Yes",'Envy Experience - Input'!$F$8:$F$27,"=Aspire")+COUNTIFS('Envy Experience - Input'!$O$8:$O$27,'Envy Experience - Results'!A90,'Envy Experience - Input'!$I$8:$I$27,"OD",'Envy Experience - Input'!$U$8:$U$27,"Yes",'Envy Experience - Input'!$F$8:$F$27,"=Aspire Toric")</f>
        <v>0</v>
      </c>
      <c r="C90" s="61" t="e">
        <f t="shared" si="24"/>
        <v>#DIV/0!</v>
      </c>
      <c r="D90" s="60">
        <f>COUNTIFS('Envy Experience - Input'!$O$8:$O$27,'Envy Experience - Results'!A90,'Envy Experience - Input'!$I$8:$I$27,"OS",'Envy Experience - Input'!$U$8:$U$27,"Yes",'Envy Experience - Input'!$F$8:$F$27,"=Aspire")+COUNTIFS('Envy Experience - Input'!$O$8:$O$27,'Envy Experience - Results'!A90,'Envy Experience - Input'!$I$8:$I$27,"OS",'Envy Experience - Input'!$U$8:$U$27,"Yes",'Envy Experience - Input'!$F$8:$F$27,"=Aspire Toric")</f>
        <v>0</v>
      </c>
      <c r="E90" s="61" t="e">
        <f t="shared" si="23"/>
        <v>#DIV/0!</v>
      </c>
    </row>
    <row r="91" spans="1:5" x14ac:dyDescent="0.35">
      <c r="A91" s="56" t="s">
        <v>78</v>
      </c>
      <c r="B91" s="60">
        <f>COUNTIFS('Envy Experience - Input'!$O$8:$O$27,'Envy Experience - Results'!A91,'Envy Experience - Input'!$I$8:$I$27,"OD",'Envy Experience - Input'!$U$8:$U$27,"Yes",'Envy Experience - Input'!$F$8:$F$27,"=Aspire")+COUNTIFS('Envy Experience - Input'!$O$8:$O$27,'Envy Experience - Results'!A91,'Envy Experience - Input'!$I$8:$I$27,"OD",'Envy Experience - Input'!$U$8:$U$27,"Yes",'Envy Experience - Input'!$F$8:$F$27,"=Aspire Toric")</f>
        <v>0</v>
      </c>
      <c r="C91" s="61" t="e">
        <f t="shared" si="24"/>
        <v>#DIV/0!</v>
      </c>
      <c r="D91" s="60">
        <f>COUNTIFS('Envy Experience - Input'!$O$8:$O$27,'Envy Experience - Results'!A91,'Envy Experience - Input'!$I$8:$I$27,"OS",'Envy Experience - Input'!$U$8:$U$27,"Yes",'Envy Experience - Input'!$F$8:$F$27,"=Aspire")+COUNTIFS('Envy Experience - Input'!$O$8:$O$27,'Envy Experience - Results'!A91,'Envy Experience - Input'!$I$8:$I$27,"OS",'Envy Experience - Input'!$U$8:$U$27,"Yes",'Envy Experience - Input'!$F$8:$F$27,"=Aspire Toric")</f>
        <v>0</v>
      </c>
      <c r="E91" s="61" t="e">
        <f t="shared" si="23"/>
        <v>#DIV/0!</v>
      </c>
    </row>
    <row r="92" spans="1:5" ht="16" x14ac:dyDescent="0.35">
      <c r="A92" s="51"/>
      <c r="B92" s="54">
        <f>SUM(B84:B91)</f>
        <v>0</v>
      </c>
      <c r="C92" s="59" t="e">
        <f t="shared" ref="C92:E92" si="25">SUM(C84:C91)</f>
        <v>#DIV/0!</v>
      </c>
      <c r="D92" s="54">
        <f t="shared" si="25"/>
        <v>0</v>
      </c>
      <c r="E92" s="59" t="e">
        <f t="shared" si="25"/>
        <v>#DIV/0!</v>
      </c>
    </row>
    <row r="94" spans="1:5" ht="16" x14ac:dyDescent="0.35">
      <c r="A94" s="197" t="s">
        <v>13</v>
      </c>
      <c r="B94" s="197"/>
      <c r="C94" s="197"/>
      <c r="D94" s="197"/>
      <c r="E94" s="197"/>
    </row>
    <row r="95" spans="1:5" x14ac:dyDescent="0.35">
      <c r="A95" s="56" t="s">
        <v>68</v>
      </c>
      <c r="B95" s="60" t="s">
        <v>69</v>
      </c>
      <c r="C95" s="61" t="s">
        <v>70</v>
      </c>
      <c r="D95" s="60" t="s">
        <v>71</v>
      </c>
      <c r="E95" s="61" t="s">
        <v>72</v>
      </c>
    </row>
    <row r="96" spans="1:5" x14ac:dyDescent="0.35">
      <c r="A96" s="56" t="s">
        <v>73</v>
      </c>
      <c r="B96" s="60">
        <f>COUNTIFS('Envy Experience - Input'!$P$8:$P$27,'Envy Experience - Results'!A96,'Envy Experience - Input'!$I$8:$I$27,"OD",'Envy Experience - Input'!$U$8:$U$27,"Yes",'Envy Experience - Input'!$F$8:$F$27,"="&amp;"Apthera IOL")+COUNTIFS('Envy Experience - Input'!$P$8:$P$27,'Envy Experience - Results'!A96,'Envy Experience - Input'!$I$8:$I$27,"OD",'Envy Experience - Input'!$U$8:$U$27,"Yes",'Envy Experience - Input'!$F$8:$F$27,"="&amp;"Aspire Toric")</f>
        <v>0</v>
      </c>
      <c r="C96" s="61" t="e">
        <f>B96/$B$7</f>
        <v>#DIV/0!</v>
      </c>
      <c r="D96" s="60">
        <f>COUNTIFS('Envy Experience - Input'!$P$8:$P$27,'Envy Experience - Results'!A96,'Envy Experience - Input'!$I$8:$I$27,"OS",'Envy Experience - Input'!$U$8:$U$27,"Yes",'Envy Experience - Input'!$F$8:$F$27,"="&amp;"Aspire")+COUNTIFS('Envy Experience - Input'!$P$8:$P$27,'Envy Experience - Results'!A96,'Envy Experience - Input'!$I$8:$I$27,"OS",'Envy Experience - Input'!$U$8:$U$27,"Yes",'Envy Experience - Input'!$F$8:$F$27,"="&amp;"Aspire Toric")</f>
        <v>0</v>
      </c>
      <c r="E96" s="61" t="e">
        <f t="shared" ref="E96:E103" si="26">D96/$B$6</f>
        <v>#DIV/0!</v>
      </c>
    </row>
    <row r="97" spans="1:6" x14ac:dyDescent="0.35">
      <c r="A97" s="56" t="s">
        <v>27</v>
      </c>
      <c r="B97" s="60">
        <f>COUNTIFS('Envy Experience - Input'!$P$8:$P$27,'Envy Experience - Results'!A97,'Envy Experience - Input'!$I$8:$I$27,"OD",'Envy Experience - Input'!$U$8:$U$27,"Yes",'Envy Experience - Input'!$F$8:$F$27,"="&amp;"Apthera IOL")+COUNTIFS('Envy Experience - Input'!$P$8:$P$27,'Envy Experience - Results'!A97,'Envy Experience - Input'!$I$8:$I$27,"OD",'Envy Experience - Input'!$U$8:$U$27,"Yes",'Envy Experience - Input'!$F$8:$F$27,"="&amp;"Aspire Toric")</f>
        <v>0</v>
      </c>
      <c r="C97" s="61" t="e">
        <f t="shared" ref="C97:C103" si="27">B97/$B$7</f>
        <v>#DIV/0!</v>
      </c>
      <c r="D97" s="60">
        <f>COUNTIFS('Envy Experience - Input'!$P$8:$P$27,'Envy Experience - Results'!A97,'Envy Experience - Input'!$I$8:$I$27,"OS",'Envy Experience - Input'!$U$8:$U$27,"Yes",'Envy Experience - Input'!$F$8:$F$27,"="&amp;"Aspire")+COUNTIFS('Envy Experience - Input'!$P$8:$P$27,'Envy Experience - Results'!A97,'Envy Experience - Input'!$I$8:$I$27,"OS",'Envy Experience - Input'!$U$8:$U$27,"Yes",'Envy Experience - Input'!$F$8:$F$27,"="&amp;"Aspire Toric")</f>
        <v>0</v>
      </c>
      <c r="E97" s="61" t="e">
        <f t="shared" si="26"/>
        <v>#DIV/0!</v>
      </c>
    </row>
    <row r="98" spans="1:6" x14ac:dyDescent="0.35">
      <c r="A98" s="56" t="s">
        <v>28</v>
      </c>
      <c r="B98" s="60">
        <f>COUNTIFS('Envy Experience - Input'!$P$8:$P$27,'Envy Experience - Results'!A98,'Envy Experience - Input'!$I$8:$I$27,"OD",'Envy Experience - Input'!$U$8:$U$27,"Yes",'Envy Experience - Input'!$F$8:$F$27,"="&amp;"Apthera IOL")+COUNTIFS('Envy Experience - Input'!$P$8:$P$27,'Envy Experience - Results'!A98,'Envy Experience - Input'!$I$8:$I$27,"OD",'Envy Experience - Input'!$U$8:$U$27,"Yes",'Envy Experience - Input'!$F$8:$F$27,"="&amp;"Aspire Toric")</f>
        <v>0</v>
      </c>
      <c r="C98" s="61" t="e">
        <f t="shared" si="27"/>
        <v>#DIV/0!</v>
      </c>
      <c r="D98" s="60">
        <f>COUNTIFS('Envy Experience - Input'!$P$8:$P$27,'Envy Experience - Results'!A98,'Envy Experience - Input'!$I$8:$I$27,"OS",'Envy Experience - Input'!$U$8:$U$27,"Yes",'Envy Experience - Input'!$F$8:$F$27,"="&amp;"Aspire")+COUNTIFS('Envy Experience - Input'!$P$8:$P$27,'Envy Experience - Results'!A98,'Envy Experience - Input'!$I$8:$I$27,"OS",'Envy Experience - Input'!$U$8:$U$27,"Yes",'Envy Experience - Input'!$F$8:$F$27,"="&amp;"Aspire Toric")</f>
        <v>0</v>
      </c>
      <c r="E98" s="61" t="e">
        <f t="shared" si="26"/>
        <v>#DIV/0!</v>
      </c>
    </row>
    <row r="99" spans="1:6" x14ac:dyDescent="0.35">
      <c r="A99" s="56" t="s">
        <v>74</v>
      </c>
      <c r="B99" s="60">
        <f>COUNTIFS('Envy Experience - Input'!$P$8:$P$27,'Envy Experience - Results'!A99,'Envy Experience - Input'!$I$8:$I$27,"OD",'Envy Experience - Input'!$U$8:$U$27,"Yes",'Envy Experience - Input'!$F$8:$F$27,"="&amp;"Apthera IOL")+COUNTIFS('Envy Experience - Input'!$P$8:$P$27,'Envy Experience - Results'!A99,'Envy Experience - Input'!$I$8:$I$27,"OD",'Envy Experience - Input'!$U$8:$U$27,"Yes",'Envy Experience - Input'!$F$8:$F$27,"="&amp;"Aspire Toric")</f>
        <v>0</v>
      </c>
      <c r="C99" s="61" t="e">
        <f t="shared" si="27"/>
        <v>#DIV/0!</v>
      </c>
      <c r="D99" s="60">
        <f>COUNTIFS('Envy Experience - Input'!$P$8:$P$27,'Envy Experience - Results'!A99,'Envy Experience - Input'!$I$8:$I$27,"OS",'Envy Experience - Input'!$U$8:$U$27,"Yes",'Envy Experience - Input'!$F$8:$F$27,"="&amp;"Aspire")+COUNTIFS('Envy Experience - Input'!$P$8:$P$27,'Envy Experience - Results'!A99,'Envy Experience - Input'!$I$8:$I$27,"OS",'Envy Experience - Input'!$U$8:$U$27,"Yes",'Envy Experience - Input'!$F$8:$F$27,"="&amp;"Aspire Toric")</f>
        <v>0</v>
      </c>
      <c r="E99" s="61" t="e">
        <f t="shared" si="26"/>
        <v>#DIV/0!</v>
      </c>
    </row>
    <row r="100" spans="1:6" x14ac:dyDescent="0.35">
      <c r="A100" s="56" t="s">
        <v>75</v>
      </c>
      <c r="B100" s="60">
        <f>COUNTIFS('Envy Experience - Input'!$P$8:$P$27,'Envy Experience - Results'!A100,'Envy Experience - Input'!$I$8:$I$27,"OD",'Envy Experience - Input'!$U$8:$U$27,"Yes",'Envy Experience - Input'!$F$8:$F$27,"="&amp;"Apthera IOL")+COUNTIFS('Envy Experience - Input'!$P$8:$P$27,'Envy Experience - Results'!A100,'Envy Experience - Input'!$I$8:$I$27,"OD",'Envy Experience - Input'!$U$8:$U$27,"Yes",'Envy Experience - Input'!$F$8:$F$27,"="&amp;"Aspire Toric")</f>
        <v>0</v>
      </c>
      <c r="C100" s="61" t="e">
        <f t="shared" si="27"/>
        <v>#DIV/0!</v>
      </c>
      <c r="D100" s="60">
        <f>COUNTIFS('Envy Experience - Input'!$P$8:$P$27,'Envy Experience - Results'!A100,'Envy Experience - Input'!$I$8:$I$27,"OS",'Envy Experience - Input'!$U$8:$U$27,"Yes",'Envy Experience - Input'!$F$8:$F$27,"="&amp;"Aspire")+COUNTIFS('Envy Experience - Input'!$P$8:$P$27,'Envy Experience - Results'!A100,'Envy Experience - Input'!$I$8:$I$27,"OS",'Envy Experience - Input'!$U$8:$U$27,"Yes",'Envy Experience - Input'!$F$8:$F$27,"="&amp;"Aspire Toric")</f>
        <v>0</v>
      </c>
      <c r="E100" s="61" t="e">
        <f t="shared" si="26"/>
        <v>#DIV/0!</v>
      </c>
    </row>
    <row r="101" spans="1:6" x14ac:dyDescent="0.35">
      <c r="A101" s="56" t="s">
        <v>76</v>
      </c>
      <c r="B101" s="60">
        <f>COUNTIFS('Envy Experience - Input'!$P$8:$P$27,'Envy Experience - Results'!A101,'Envy Experience - Input'!$I$8:$I$27,"OD",'Envy Experience - Input'!$U$8:$U$27,"Yes",'Envy Experience - Input'!$F$8:$F$27,"="&amp;"Apthera IOL")+COUNTIFS('Envy Experience - Input'!$P$8:$P$27,'Envy Experience - Results'!A101,'Envy Experience - Input'!$I$8:$I$27,"OD",'Envy Experience - Input'!$U$8:$U$27,"Yes",'Envy Experience - Input'!$F$8:$F$27,"="&amp;"Aspire Toric")</f>
        <v>0</v>
      </c>
      <c r="C101" s="61" t="e">
        <f t="shared" si="27"/>
        <v>#DIV/0!</v>
      </c>
      <c r="D101" s="60">
        <f>COUNTIFS('Envy Experience - Input'!$P$8:$P$27,'Envy Experience - Results'!A101,'Envy Experience - Input'!$I$8:$I$27,"OS",'Envy Experience - Input'!$U$8:$U$27,"Yes",'Envy Experience - Input'!$F$8:$F$27,"="&amp;"Aspire")+COUNTIFS('Envy Experience - Input'!$P$8:$P$27,'Envy Experience - Results'!A101,'Envy Experience - Input'!$I$8:$I$27,"OS",'Envy Experience - Input'!$U$8:$U$27,"Yes",'Envy Experience - Input'!$F$8:$F$27,"="&amp;"Aspire Toric")</f>
        <v>0</v>
      </c>
      <c r="E101" s="61" t="e">
        <f t="shared" si="26"/>
        <v>#DIV/0!</v>
      </c>
    </row>
    <row r="102" spans="1:6" x14ac:dyDescent="0.35">
      <c r="A102" s="56" t="s">
        <v>77</v>
      </c>
      <c r="B102" s="60">
        <f>COUNTIFS('Envy Experience - Input'!$P$8:$P$27,'Envy Experience - Results'!A102,'Envy Experience - Input'!$I$8:$I$27,"OD",'Envy Experience - Input'!$U$8:$U$27,"Yes",'Envy Experience - Input'!$F$8:$F$27,"="&amp;"Apthera IOL")+COUNTIFS('Envy Experience - Input'!$P$8:$P$27,'Envy Experience - Results'!A102,'Envy Experience - Input'!$I$8:$I$27,"OD",'Envy Experience - Input'!$U$8:$U$27,"Yes",'Envy Experience - Input'!$F$8:$F$27,"="&amp;"Aspire Toric")</f>
        <v>0</v>
      </c>
      <c r="C102" s="61" t="e">
        <f t="shared" si="27"/>
        <v>#DIV/0!</v>
      </c>
      <c r="D102" s="60">
        <f>COUNTIFS('Envy Experience - Input'!$P$8:$P$27,'Envy Experience - Results'!A102,'Envy Experience - Input'!$I$8:$I$27,"OS",'Envy Experience - Input'!$U$8:$U$27,"Yes",'Envy Experience - Input'!$F$8:$F$27,"="&amp;"Aspire")+COUNTIFS('Envy Experience - Input'!$P$8:$P$27,'Envy Experience - Results'!A102,'Envy Experience - Input'!$I$8:$I$27,"OS",'Envy Experience - Input'!$U$8:$U$27,"Yes",'Envy Experience - Input'!$F$8:$F$27,"="&amp;"Aspire Toric")</f>
        <v>0</v>
      </c>
      <c r="E102" s="61" t="e">
        <f t="shared" si="26"/>
        <v>#DIV/0!</v>
      </c>
    </row>
    <row r="103" spans="1:6" x14ac:dyDescent="0.35">
      <c r="A103" s="56" t="s">
        <v>78</v>
      </c>
      <c r="B103" s="60">
        <f>COUNTIFS('Envy Experience - Input'!$P$8:$P$27,'Envy Experience - Results'!A103,'Envy Experience - Input'!$I$8:$I$27,"OD",'Envy Experience - Input'!$U$8:$U$27,"Yes",'Envy Experience - Input'!$F$8:$F$27,"="&amp;"Apthera IOL")+COUNTIFS('Envy Experience - Input'!$P$8:$P$27,'Envy Experience - Results'!A103,'Envy Experience - Input'!$I$8:$I$27,"OD",'Envy Experience - Input'!$U$8:$U$27,"Yes",'Envy Experience - Input'!$F$8:$F$27,"="&amp;"Aspire Toric")</f>
        <v>0</v>
      </c>
      <c r="C103" s="61" t="e">
        <f t="shared" si="27"/>
        <v>#DIV/0!</v>
      </c>
      <c r="D103" s="60">
        <f>COUNTIFS('Envy Experience - Input'!$P$8:$P$27,'Envy Experience - Results'!A103,'Envy Experience - Input'!$I$8:$I$27,"OS",'Envy Experience - Input'!$U$8:$U$27,"Yes",'Envy Experience - Input'!$F$8:$F$27,"="&amp;"Aspire")+COUNTIFS('Envy Experience - Input'!$P$8:$P$27,'Envy Experience - Results'!A103,'Envy Experience - Input'!$I$8:$I$27,"OS",'Envy Experience - Input'!$U$8:$U$27,"Yes",'Envy Experience - Input'!$F$8:$F$27,"="&amp;"Aspire Toric")</f>
        <v>0</v>
      </c>
      <c r="E103" s="61" t="e">
        <f t="shared" si="26"/>
        <v>#DIV/0!</v>
      </c>
    </row>
    <row r="104" spans="1:6" ht="16" x14ac:dyDescent="0.35">
      <c r="A104" s="51"/>
      <c r="B104" s="54">
        <f>SUM(B96:B103)</f>
        <v>0</v>
      </c>
      <c r="C104" s="59" t="e">
        <f t="shared" ref="C104:E104" si="28">SUM(C96:C103)</f>
        <v>#DIV/0!</v>
      </c>
      <c r="D104" s="54">
        <f t="shared" si="28"/>
        <v>0</v>
      </c>
      <c r="E104" s="59" t="e">
        <f t="shared" si="28"/>
        <v>#DIV/0!</v>
      </c>
    </row>
    <row r="106" spans="1:6" ht="16" x14ac:dyDescent="0.35">
      <c r="A106" s="197" t="s">
        <v>14</v>
      </c>
      <c r="B106" s="197"/>
      <c r="C106" s="197"/>
      <c r="D106" s="197"/>
      <c r="E106" s="197"/>
    </row>
    <row r="107" spans="1:6" x14ac:dyDescent="0.35">
      <c r="A107" s="56" t="s">
        <v>68</v>
      </c>
      <c r="B107" s="60" t="s">
        <v>69</v>
      </c>
      <c r="C107" s="61" t="s">
        <v>70</v>
      </c>
      <c r="D107" s="60" t="s">
        <v>71</v>
      </c>
      <c r="E107" s="61" t="s">
        <v>72</v>
      </c>
    </row>
    <row r="108" spans="1:6" x14ac:dyDescent="0.35">
      <c r="A108" s="65" t="s">
        <v>79</v>
      </c>
      <c r="B108" s="60">
        <f>COUNTIFS('Envy Experience - Input'!$Q$8:$Q$27,'Envy Experience - Results'!A108,'Envy Experience - Input'!$I$8:$I$27,"OD",'Envy Experience - Input'!$U$8:$U$27,"Yes",'Envy Experience - Input'!$F$8:$F$27,"="&amp;"Aspire")+COUNTIFS('Envy Experience - Input'!$Q$8:$Q$27,'Envy Experience - Results'!A108,'Envy Experience - Input'!$I$8:$I$27,"OD",'Envy Experience - Input'!$U$8:$U$27,"Yes",'Envy Experience - Input'!$F$8:$F$27,"="&amp;"Aspire Toric")</f>
        <v>0</v>
      </c>
      <c r="C108" s="61" t="e">
        <f>B108/$B$7</f>
        <v>#DIV/0!</v>
      </c>
      <c r="D108" s="60">
        <f>COUNTIFS('Envy Experience - Input'!$Q$8:$Q$27,'Envy Experience - Results'!A108,'Envy Experience - Input'!$I$8:$I$27,"OS",'Envy Experience - Input'!$U$8:$U$27,"Yes",'Envy Experience - Input'!$F$8:$F$27,"="&amp;"Aspire")+COUNTIFS('Envy Experience - Input'!$Q$8:$Q$27,'Envy Experience - Results'!A108,'Envy Experience - Input'!$I$8:$I$27,"OS",'Envy Experience - Input'!$U$8:$U$27,"Yes",'Envy Experience - Input'!$F$8:$F$27,"="&amp;"Aspire Toric")</f>
        <v>0</v>
      </c>
      <c r="E108" s="61" t="e">
        <f t="shared" ref="E108:E115" si="29">D108/$B$6</f>
        <v>#DIV/0!</v>
      </c>
      <c r="F108" s="54" t="str">
        <f>A108</f>
        <v>J1+</v>
      </c>
    </row>
    <row r="109" spans="1:6" x14ac:dyDescent="0.35">
      <c r="A109" s="56" t="s">
        <v>80</v>
      </c>
      <c r="B109" s="60">
        <f>COUNTIFS('Envy Experience - Input'!$Q$8:$Q$27,'Envy Experience - Results'!A109,'Envy Experience - Input'!$I$8:$I$27,"OD",'Envy Experience - Input'!$U$8:$U$27,"Yes",'Envy Experience - Input'!$F$8:$F$27,"="&amp;"Aspire")+COUNTIFS('Envy Experience - Input'!$Q$8:$Q$27,'Envy Experience - Results'!A109,'Envy Experience - Input'!$I$8:$I$27,"OD",'Envy Experience - Input'!$U$8:$U$27,"Yes",'Envy Experience - Input'!$F$8:$F$27,"="&amp;"Aspire Toric")</f>
        <v>0</v>
      </c>
      <c r="C109" s="61" t="e">
        <f t="shared" ref="C109:C115" si="30">B109/$B$7</f>
        <v>#DIV/0!</v>
      </c>
      <c r="D109" s="60">
        <f>COUNTIFS('Envy Experience - Input'!$Q$8:$Q$27,'Envy Experience - Results'!A109,'Envy Experience - Input'!$I$8:$I$27,"OS",'Envy Experience - Input'!$U$8:$U$27,"Yes",'Envy Experience - Input'!$F$8:$F$27,"="&amp;"Aspire")+COUNTIFS('Envy Experience - Input'!$Q$8:$Q$27,'Envy Experience - Results'!A109,'Envy Experience - Input'!$I$8:$I$27,"OS",'Envy Experience - Input'!$U$8:$U$27,"Yes",'Envy Experience - Input'!$F$8:$F$27,"="&amp;"Aspire Toric")</f>
        <v>0</v>
      </c>
      <c r="E109" s="61" t="e">
        <f t="shared" si="29"/>
        <v>#DIV/0!</v>
      </c>
      <c r="F109" s="54" t="str">
        <f t="shared" ref="F109:F115" si="31">A109</f>
        <v>J1</v>
      </c>
    </row>
    <row r="110" spans="1:6" x14ac:dyDescent="0.35">
      <c r="A110" s="56" t="s">
        <v>81</v>
      </c>
      <c r="B110" s="60">
        <f>COUNTIFS('Envy Experience - Input'!$Q$8:$Q$27,'Envy Experience - Results'!A110,'Envy Experience - Input'!$I$8:$I$27,"OD",'Envy Experience - Input'!$U$8:$U$27,"Yes",'Envy Experience - Input'!$F$8:$F$27,"="&amp;"Aspire")+COUNTIFS('Envy Experience - Input'!$Q$8:$Q$27,'Envy Experience - Results'!A110,'Envy Experience - Input'!$I$8:$I$27,"OD",'Envy Experience - Input'!$U$8:$U$27,"Yes",'Envy Experience - Input'!$F$8:$F$27,"="&amp;"Aspire Toric")</f>
        <v>0</v>
      </c>
      <c r="C110" s="61" t="e">
        <f t="shared" si="30"/>
        <v>#DIV/0!</v>
      </c>
      <c r="D110" s="60">
        <f>COUNTIFS('Envy Experience - Input'!$Q$8:$Q$27,'Envy Experience - Results'!A110,'Envy Experience - Input'!$I$8:$I$27,"OS",'Envy Experience - Input'!$U$8:$U$27,"Yes",'Envy Experience - Input'!$F$8:$F$27,"="&amp;"Aspire")+COUNTIFS('Envy Experience - Input'!$Q$8:$Q$27,'Envy Experience - Results'!A110,'Envy Experience - Input'!$I$8:$I$27,"OS",'Envy Experience - Input'!$U$8:$U$27,"Yes",'Envy Experience - Input'!$F$8:$F$27,"="&amp;"Aspire Toric")</f>
        <v>0</v>
      </c>
      <c r="E110" s="61" t="e">
        <f t="shared" si="29"/>
        <v>#DIV/0!</v>
      </c>
      <c r="F110" s="54" t="str">
        <f t="shared" si="31"/>
        <v>J2</v>
      </c>
    </row>
    <row r="111" spans="1:6" x14ac:dyDescent="0.35">
      <c r="A111" s="56" t="s">
        <v>29</v>
      </c>
      <c r="B111" s="60">
        <f>COUNTIFS('Envy Experience - Input'!$Q$8:$Q$27,'Envy Experience - Results'!A111,'Envy Experience - Input'!$I$8:$I$27,"OD",'Envy Experience - Input'!$U$8:$U$27,"Yes",'Envy Experience - Input'!$F$8:$F$27,"="&amp;"Aspire")+COUNTIFS('Envy Experience - Input'!$Q$8:$Q$27,'Envy Experience - Results'!A111,'Envy Experience - Input'!$I$8:$I$27,"OD",'Envy Experience - Input'!$U$8:$U$27,"Yes",'Envy Experience - Input'!$F$8:$F$27,"="&amp;"Aspire Toric")</f>
        <v>0</v>
      </c>
      <c r="C111" s="61" t="e">
        <f t="shared" si="30"/>
        <v>#DIV/0!</v>
      </c>
      <c r="D111" s="60">
        <f>COUNTIFS('Envy Experience - Input'!$Q$8:$Q$27,'Envy Experience - Results'!A111,'Envy Experience - Input'!$I$8:$I$27,"OS",'Envy Experience - Input'!$U$8:$U$27,"Yes",'Envy Experience - Input'!$F$8:$F$27,"="&amp;"Aspire")+COUNTIFS('Envy Experience - Input'!$Q$8:$Q$27,'Envy Experience - Results'!A111,'Envy Experience - Input'!$I$8:$I$27,"OS",'Envy Experience - Input'!$U$8:$U$27,"Yes",'Envy Experience - Input'!$F$8:$F$27,"="&amp;"Aspire Toric")</f>
        <v>0</v>
      </c>
      <c r="E111" s="61" t="e">
        <f t="shared" si="29"/>
        <v>#DIV/0!</v>
      </c>
      <c r="F111" s="54" t="str">
        <f t="shared" si="31"/>
        <v>J3</v>
      </c>
    </row>
    <row r="112" spans="1:6" x14ac:dyDescent="0.35">
      <c r="A112" s="56" t="s">
        <v>82</v>
      </c>
      <c r="B112" s="60">
        <f>COUNTIFS('Envy Experience - Input'!$Q$8:$Q$27,'Envy Experience - Results'!A112,'Envy Experience - Input'!$I$8:$I$27,"OD",'Envy Experience - Input'!$U$8:$U$27,"Yes",'Envy Experience - Input'!$F$8:$F$27,"="&amp;"Aspire")+COUNTIFS('Envy Experience - Input'!$Q$8:$Q$27,'Envy Experience - Results'!A112,'Envy Experience - Input'!$I$8:$I$27,"OD",'Envy Experience - Input'!$U$8:$U$27,"Yes",'Envy Experience - Input'!$F$8:$F$27,"="&amp;"Aspire Toric")</f>
        <v>0</v>
      </c>
      <c r="C112" s="61" t="e">
        <f t="shared" si="30"/>
        <v>#DIV/0!</v>
      </c>
      <c r="D112" s="60">
        <f>COUNTIFS('Envy Experience - Input'!$Q$8:$Q$27,'Envy Experience - Results'!A112,'Envy Experience - Input'!$I$8:$I$27,"OS",'Envy Experience - Input'!$U$8:$U$27,"Yes",'Envy Experience - Input'!$F$8:$F$27,"="&amp;"Aspire")+COUNTIFS('Envy Experience - Input'!$Q$8:$Q$27,'Envy Experience - Results'!A112,'Envy Experience - Input'!$I$8:$I$27,"OS",'Envy Experience - Input'!$U$8:$U$27,"Yes",'Envy Experience - Input'!$F$8:$F$27,"="&amp;"Aspire Toric")</f>
        <v>0</v>
      </c>
      <c r="E112" s="61" t="e">
        <f t="shared" si="29"/>
        <v>#DIV/0!</v>
      </c>
      <c r="F112" s="54" t="str">
        <f t="shared" si="31"/>
        <v>J5</v>
      </c>
    </row>
    <row r="113" spans="1:6" x14ac:dyDescent="0.35">
      <c r="A113" s="56" t="s">
        <v>83</v>
      </c>
      <c r="B113" s="60">
        <f>COUNTIFS('Envy Experience - Input'!$Q$8:$Q$27,'Envy Experience - Results'!A113,'Envy Experience - Input'!$I$8:$I$27,"OD",'Envy Experience - Input'!$U$8:$U$27,"Yes",'Envy Experience - Input'!$F$8:$F$27,"="&amp;"Aspire")+COUNTIFS('Envy Experience - Input'!$Q$8:$Q$27,'Envy Experience - Results'!A113,'Envy Experience - Input'!$I$8:$I$27,"OD",'Envy Experience - Input'!$U$8:$U$27,"Yes",'Envy Experience - Input'!$F$8:$F$27,"="&amp;"Aspire Toric")</f>
        <v>0</v>
      </c>
      <c r="C113" s="61" t="e">
        <f t="shared" si="30"/>
        <v>#DIV/0!</v>
      </c>
      <c r="D113" s="60">
        <f>COUNTIFS('Envy Experience - Input'!$Q$8:$Q$27,'Envy Experience - Results'!A113,'Envy Experience - Input'!$I$8:$I$27,"OS",'Envy Experience - Input'!$U$8:$U$27,"Yes",'Envy Experience - Input'!$F$8:$F$27,"="&amp;"Aspire")+COUNTIFS('Envy Experience - Input'!$Q$8:$Q$27,'Envy Experience - Results'!A113,'Envy Experience - Input'!$I$8:$I$27,"OS",'Envy Experience - Input'!$U$8:$U$27,"Yes",'Envy Experience - Input'!$F$8:$F$27,"="&amp;"Aspire Toric")</f>
        <v>0</v>
      </c>
      <c r="E113" s="61" t="e">
        <f t="shared" si="29"/>
        <v>#DIV/0!</v>
      </c>
      <c r="F113" s="54" t="str">
        <f t="shared" si="31"/>
        <v>J6</v>
      </c>
    </row>
    <row r="114" spans="1:6" x14ac:dyDescent="0.35">
      <c r="A114" s="56" t="s">
        <v>84</v>
      </c>
      <c r="B114" s="60">
        <f>COUNTIFS('Envy Experience - Input'!$Q$8:$Q$27,'Envy Experience - Results'!A114,'Envy Experience - Input'!$I$8:$I$27,"OD",'Envy Experience - Input'!$U$8:$U$27,"Yes",'Envy Experience - Input'!$F$8:$F$27,"="&amp;"Aspire")+COUNTIFS('Envy Experience - Input'!$Q$8:$Q$27,'Envy Experience - Results'!A114,'Envy Experience - Input'!$I$8:$I$27,"OD",'Envy Experience - Input'!$U$8:$U$27,"Yes",'Envy Experience - Input'!$F$8:$F$27,"="&amp;"Aspire Toric")</f>
        <v>0</v>
      </c>
      <c r="C114" s="61" t="e">
        <f t="shared" si="30"/>
        <v>#DIV/0!</v>
      </c>
      <c r="D114" s="60">
        <f>COUNTIFS('Envy Experience - Input'!$Q$8:$Q$27,'Envy Experience - Results'!A114,'Envy Experience - Input'!$I$8:$I$27,"OS",'Envy Experience - Input'!$U$8:$U$27,"Yes",'Envy Experience - Input'!$F$8:$F$27,"="&amp;"Aspire")+COUNTIFS('Envy Experience - Input'!$Q$8:$Q$27,'Envy Experience - Results'!A114,'Envy Experience - Input'!$I$8:$I$27,"OS",'Envy Experience - Input'!$U$8:$U$27,"Yes",'Envy Experience - Input'!$F$8:$F$27,"="&amp;"Aspire Toric")</f>
        <v>0</v>
      </c>
      <c r="E114" s="61" t="e">
        <f t="shared" si="29"/>
        <v>#DIV/0!</v>
      </c>
      <c r="F114" s="54" t="str">
        <f t="shared" si="31"/>
        <v>J8</v>
      </c>
    </row>
    <row r="115" spans="1:6" x14ac:dyDescent="0.35">
      <c r="A115" s="56" t="s">
        <v>85</v>
      </c>
      <c r="B115" s="60">
        <f>COUNTIFS('Envy Experience - Input'!$Q$8:$Q$27,'Envy Experience - Results'!A115,'Envy Experience - Input'!$I$8:$I$27,"OD",'Envy Experience - Input'!$U$8:$U$27,"Yes",'Envy Experience - Input'!$F$8:$F$27,"="&amp;"Aspire")+COUNTIFS('Envy Experience - Input'!$Q$8:$Q$27,'Envy Experience - Results'!A115,'Envy Experience - Input'!$I$8:$I$27,"OD",'Envy Experience - Input'!$U$8:$U$27,"Yes",'Envy Experience - Input'!$F$8:$F$27,"="&amp;"Aspire Toric")</f>
        <v>0</v>
      </c>
      <c r="C115" s="61" t="e">
        <f t="shared" si="30"/>
        <v>#DIV/0!</v>
      </c>
      <c r="D115" s="60">
        <f>COUNTIFS('Envy Experience - Input'!$Q$8:$Q$27,'Envy Experience - Results'!A115,'Envy Experience - Input'!$I$8:$I$27,"OS",'Envy Experience - Input'!$U$8:$U$27,"Yes",'Envy Experience - Input'!$F$8:$F$27,"="&amp;"Aspire")+COUNTIFS('Envy Experience - Input'!$Q$8:$Q$27,'Envy Experience - Results'!A115,'Envy Experience - Input'!$I$8:$I$27,"OS",'Envy Experience - Input'!$U$8:$U$27,"Yes",'Envy Experience - Input'!$F$8:$F$27,"="&amp;"Aspire Toric")</f>
        <v>0</v>
      </c>
      <c r="E115" s="61" t="e">
        <f t="shared" si="29"/>
        <v>#DIV/0!</v>
      </c>
      <c r="F115" s="54" t="str">
        <f t="shared" si="31"/>
        <v>J10</v>
      </c>
    </row>
    <row r="116" spans="1:6" x14ac:dyDescent="0.35">
      <c r="B116" s="54">
        <f>SUM(B108:B115)</f>
        <v>0</v>
      </c>
      <c r="C116" s="59" t="e">
        <f t="shared" ref="C116:E116" si="32">SUM(C108:C115)</f>
        <v>#DIV/0!</v>
      </c>
      <c r="D116" s="54">
        <f t="shared" si="32"/>
        <v>0</v>
      </c>
      <c r="E116" s="59" t="e">
        <f t="shared" si="32"/>
        <v>#DIV/0!</v>
      </c>
    </row>
    <row r="118" spans="1:6" ht="16" x14ac:dyDescent="0.35">
      <c r="A118" s="197" t="s">
        <v>87</v>
      </c>
      <c r="B118" s="197"/>
      <c r="C118" s="197"/>
      <c r="D118" s="197"/>
      <c r="E118" s="197"/>
    </row>
    <row r="119" spans="1:6" x14ac:dyDescent="0.35">
      <c r="A119" s="56" t="s">
        <v>68</v>
      </c>
      <c r="B119" s="61" t="s">
        <v>11</v>
      </c>
      <c r="C119" s="60" t="s">
        <v>12</v>
      </c>
      <c r="D119" s="61" t="s">
        <v>13</v>
      </c>
      <c r="E119" t="s">
        <v>14</v>
      </c>
    </row>
    <row r="120" spans="1:6" x14ac:dyDescent="0.35">
      <c r="A120" s="56" t="s">
        <v>73</v>
      </c>
      <c r="B120" s="60">
        <f>COUNTIFS('Envy Experience - Input'!$N$29:$N$38,'Envy Experience - Results'!A120,'Envy Experience - Input'!$U$29:$U$38,"Yes",'Envy Experience - Input'!$F$29:$F$38,"=Competitor")</f>
        <v>0</v>
      </c>
      <c r="C120" s="60">
        <f>COUNTIFS('Envy Experience - Input'!$O$29:$O$38,'Envy Experience - Results'!A120,'Envy Experience - Input'!$U$29:$U$38,"Yes",'Envy Experience - Input'!$F$29:$F$38,"=Competitor")</f>
        <v>0</v>
      </c>
      <c r="D120" s="60">
        <f>COUNTIFS('Envy Experience - Input'!$P$29:$P$38,'Envy Experience - Results'!A120,'Envy Experience - Input'!$U$29:$U$38,"Yes",'Envy Experience - Input'!$F$29:$F$38,"=Competitor")</f>
        <v>0</v>
      </c>
      <c r="E120" s="60">
        <f>COUNTIFS('Envy Experience - Input'!$Q$29:$Q$38,F120,'Envy Experience - Input'!$U$29:$U$38,"Yes",'Envy Experience - Input'!$F$29:$F$38,"=Competitor")</f>
        <v>0</v>
      </c>
      <c r="F120" s="63" t="s">
        <v>79</v>
      </c>
    </row>
    <row r="121" spans="1:6" x14ac:dyDescent="0.35">
      <c r="A121" s="56" t="s">
        <v>27</v>
      </c>
      <c r="B121" s="60">
        <f>COUNTIFS('Envy Experience - Input'!$N$29:$N$38,'Envy Experience - Results'!A121,'Envy Experience - Input'!$U$29:$U$38,"Yes",'Envy Experience - Input'!$F$29:$F$38,"=Competitor")</f>
        <v>0</v>
      </c>
      <c r="C121" s="60">
        <f>COUNTIFS('Envy Experience - Input'!$O$29:$O$38,'Envy Experience - Results'!A121,'Envy Experience - Input'!$U$29:$U$38,"Yes",'Envy Experience - Input'!$F$29:$F$38,"=Competitor")</f>
        <v>0</v>
      </c>
      <c r="D121" s="60">
        <f>COUNTIFS('Envy Experience - Input'!$P$29:$P$38,'Envy Experience - Results'!A121,'Envy Experience - Input'!$U$29:$U$38,"Yes",'Envy Experience - Input'!$F$29:$F$38,"=Competitor")</f>
        <v>0</v>
      </c>
      <c r="E121" s="60">
        <f>COUNTIFS('Envy Experience - Input'!$Q$29:$Q$38,F121,'Envy Experience - Input'!$U$29:$U$38,"Yes",'Envy Experience - Input'!$F$29:$F$38,"=Competitor")</f>
        <v>0</v>
      </c>
      <c r="F121" s="63" t="s">
        <v>80</v>
      </c>
    </row>
    <row r="122" spans="1:6" x14ac:dyDescent="0.35">
      <c r="A122" s="56" t="s">
        <v>28</v>
      </c>
      <c r="B122" s="60">
        <f>COUNTIFS('Envy Experience - Input'!$N$29:$N$38,'Envy Experience - Results'!A122,'Envy Experience - Input'!$U$29:$U$38,"Yes",'Envy Experience - Input'!$F$29:$F$38,"=Competitor")</f>
        <v>0</v>
      </c>
      <c r="C122" s="60">
        <f>COUNTIFS('Envy Experience - Input'!$O$29:$O$38,'Envy Experience - Results'!A122,'Envy Experience - Input'!$U$29:$U$38,"Yes",'Envy Experience - Input'!$F$29:$F$38,"=Competitor")</f>
        <v>0</v>
      </c>
      <c r="D122" s="60">
        <f>COUNTIFS('Envy Experience - Input'!$P$29:$P$38,'Envy Experience - Results'!A122,'Envy Experience - Input'!$U$29:$U$38,"Yes",'Envy Experience - Input'!$F$29:$F$38,"=Competitor")</f>
        <v>0</v>
      </c>
      <c r="E122" s="60">
        <f>COUNTIFS('Envy Experience - Input'!$Q$29:$Q$38,F122,'Envy Experience - Input'!$U$29:$U$38,"Yes",'Envy Experience - Input'!$F$29:$F$38,"=Competitor")</f>
        <v>0</v>
      </c>
      <c r="F122" s="63" t="s">
        <v>81</v>
      </c>
    </row>
    <row r="123" spans="1:6" x14ac:dyDescent="0.35">
      <c r="A123" s="56" t="s">
        <v>74</v>
      </c>
      <c r="B123" s="60">
        <f>COUNTIFS('Envy Experience - Input'!$N$29:$N$38,'Envy Experience - Results'!A123,'Envy Experience - Input'!$U$29:$U$38,"Yes",'Envy Experience - Input'!$F$29:$F$38,"=Competitor")</f>
        <v>0</v>
      </c>
      <c r="C123" s="60">
        <f>COUNTIFS('Envy Experience - Input'!$O$29:$O$38,'Envy Experience - Results'!A123,'Envy Experience - Input'!$U$29:$U$38,"Yes",'Envy Experience - Input'!$F$29:$F$38,"=Competitor")</f>
        <v>0</v>
      </c>
      <c r="D123" s="60">
        <f>COUNTIFS('Envy Experience - Input'!$P$29:$P$38,'Envy Experience - Results'!A123,'Envy Experience - Input'!$U$29:$U$38,"Yes",'Envy Experience - Input'!$F$29:$F$38,"=Competitor")</f>
        <v>0</v>
      </c>
      <c r="E123" s="60">
        <f>COUNTIFS('Envy Experience - Input'!$Q$29:$Q$38,F123,'Envy Experience - Input'!$U$29:$U$38,"Yes",'Envy Experience - Input'!$F$29:$F$38,"=Competitor")</f>
        <v>0</v>
      </c>
      <c r="F123" s="54" t="s">
        <v>29</v>
      </c>
    </row>
    <row r="124" spans="1:6" x14ac:dyDescent="0.35">
      <c r="A124" s="56" t="s">
        <v>75</v>
      </c>
      <c r="B124" s="60">
        <f>COUNTIFS('Envy Experience - Input'!$N$29:$N$38,'Envy Experience - Results'!A124,'Envy Experience - Input'!$U$29:$U$38,"Yes",'Envy Experience - Input'!$F$29:$F$38,"=Competitor")</f>
        <v>0</v>
      </c>
      <c r="C124" s="60">
        <f>COUNTIFS('Envy Experience - Input'!$O$29:$O$38,'Envy Experience - Results'!A124,'Envy Experience - Input'!$U$29:$U$38,"Yes",'Envy Experience - Input'!$F$29:$F$38,"=Competitor")</f>
        <v>0</v>
      </c>
      <c r="D124" s="60">
        <f>COUNTIFS('Envy Experience - Input'!$P$29:$P$38,'Envy Experience - Results'!A124,'Envy Experience - Input'!$U$29:$U$38,"Yes",'Envy Experience - Input'!$F$29:$F$38,"=Competitor")</f>
        <v>0</v>
      </c>
      <c r="E124" s="60">
        <f>COUNTIFS('Envy Experience - Input'!$Q$29:$Q$38,F124,'Envy Experience - Input'!$U$29:$U$38,"Yes",'Envy Experience - Input'!$F$29:$F$38,"=Competitor")</f>
        <v>0</v>
      </c>
      <c r="F124" s="54" t="s">
        <v>82</v>
      </c>
    </row>
    <row r="125" spans="1:6" x14ac:dyDescent="0.35">
      <c r="A125" s="56" t="s">
        <v>76</v>
      </c>
      <c r="B125" s="60">
        <f>COUNTIFS('Envy Experience - Input'!$N$29:$N$38,'Envy Experience - Results'!A125,'Envy Experience - Input'!$U$29:$U$38,"Yes",'Envy Experience - Input'!$F$29:$F$38,"=Competitor")</f>
        <v>0</v>
      </c>
      <c r="C125" s="60">
        <f>COUNTIFS('Envy Experience - Input'!$O$29:$O$38,'Envy Experience - Results'!A125,'Envy Experience - Input'!$U$29:$U$38,"Yes",'Envy Experience - Input'!$F$29:$F$38,"=Competitor")</f>
        <v>0</v>
      </c>
      <c r="D125" s="60">
        <f>COUNTIFS('Envy Experience - Input'!$P$29:$P$38,'Envy Experience - Results'!A125,'Envy Experience - Input'!$U$29:$U$38,"Yes",'Envy Experience - Input'!$F$29:$F$38,"=Competitor")</f>
        <v>0</v>
      </c>
      <c r="E125" s="60">
        <f>COUNTIFS('Envy Experience - Input'!$Q$29:$Q$38,F125,'Envy Experience - Input'!$U$29:$U$38,"Yes",'Envy Experience - Input'!$F$29:$F$38,"=Competitor")</f>
        <v>0</v>
      </c>
      <c r="F125" s="54" t="s">
        <v>83</v>
      </c>
    </row>
    <row r="126" spans="1:6" x14ac:dyDescent="0.35">
      <c r="A126" s="56" t="s">
        <v>77</v>
      </c>
      <c r="B126" s="60">
        <f>COUNTIFS('Envy Experience - Input'!$N$29:$N$38,'Envy Experience - Results'!A126,'Envy Experience - Input'!$U$29:$U$38,"Yes",'Envy Experience - Input'!$F$29:$F$38,"=Competitor")</f>
        <v>0</v>
      </c>
      <c r="C126" s="60">
        <f>COUNTIFS('Envy Experience - Input'!$O$29:$O$38,'Envy Experience - Results'!A126,'Envy Experience - Input'!$U$29:$U$38,"Yes",'Envy Experience - Input'!$F$29:$F$38,"=Competitor")</f>
        <v>0</v>
      </c>
      <c r="D126" s="60">
        <f>COUNTIFS('Envy Experience - Input'!$P$29:$P$38,'Envy Experience - Results'!A126,'Envy Experience - Input'!$U$29:$U$38,"Yes",'Envy Experience - Input'!$F$29:$F$38,"=Competitor")</f>
        <v>0</v>
      </c>
      <c r="E126" s="60">
        <f>COUNTIFS('Envy Experience - Input'!$Q$29:$Q$38,F126,'Envy Experience - Input'!$U$29:$U$38,"Yes",'Envy Experience - Input'!$F$29:$F$38,"=Competitor")</f>
        <v>0</v>
      </c>
      <c r="F126" s="54" t="s">
        <v>84</v>
      </c>
    </row>
    <row r="127" spans="1:6" x14ac:dyDescent="0.35">
      <c r="A127" s="56" t="s">
        <v>78</v>
      </c>
      <c r="B127" s="60">
        <f>COUNTIFS('Envy Experience - Input'!$N$29:$N$38,'Envy Experience - Results'!A127,'Envy Experience - Input'!$U$29:$U$38,"Yes",'Envy Experience - Input'!$F$29:$F$38,"=Competitor")</f>
        <v>0</v>
      </c>
      <c r="C127" s="60">
        <f>COUNTIFS('Envy Experience - Input'!$O$29:$O$38,'Envy Experience - Results'!A127,'Envy Experience - Input'!$U$29:$U$38,"Yes",'Envy Experience - Input'!$F$29:$F$38,"=Competitor")</f>
        <v>0</v>
      </c>
      <c r="D127" s="60">
        <f>COUNTIFS('Envy Experience - Input'!$P$29:$P$38,'Envy Experience - Results'!A127,'Envy Experience - Input'!$U$29:$U$38,"Yes",'Envy Experience - Input'!$F$29:$F$38,"=Competitor")</f>
        <v>0</v>
      </c>
      <c r="E127" s="60">
        <f>COUNTIFS('Envy Experience - Input'!$Q$29:$Q$38,F127,'Envy Experience - Input'!$U$29:$U$38,"Yes",'Envy Experience - Input'!$F$29:$F$38,"=Competitor")</f>
        <v>0</v>
      </c>
      <c r="F127" s="54" t="s">
        <v>85</v>
      </c>
    </row>
    <row r="128" spans="1:6" ht="16" x14ac:dyDescent="0.35">
      <c r="A128" s="51"/>
      <c r="B128" s="60">
        <f>COUNTIFS('Envy Experience - Input'!$N$29:$N$38,'Envy Experience - Results'!A128,'Envy Experience - Input'!$U$29:$U$38,"Yes",'Envy Experience - Input'!$F$29:$F$38,"=Competitor")</f>
        <v>0</v>
      </c>
      <c r="C128" s="60">
        <f>COUNTIFS('Envy Experience - Input'!$O$29:$O$38,'Envy Experience - Results'!A128,'Envy Experience - Input'!$U$29:$U$38,"Yes",'Envy Experience - Input'!$F$29:$F$38,"=Competitor")</f>
        <v>0</v>
      </c>
      <c r="D128" s="60">
        <f>COUNTIFS('Envy Experience - Input'!$P$29:$P$38,'Envy Experience - Results'!A128,'Envy Experience - Input'!$U$29:$U$38,"Yes",'Envy Experience - Input'!$F$29:$F$38,"=Competitor")</f>
        <v>0</v>
      </c>
      <c r="E128" s="60">
        <f>COUNTIFS('Envy Experience - Input'!$Q$29:$Q$38,F128,'Envy Experience - Input'!$U$29:$U$38,"Yes",'Envy Experience - Input'!$F$29:$F$38,"=Competitor")</f>
        <v>0</v>
      </c>
    </row>
  </sheetData>
  <sheetProtection selectLockedCells="1" selectUnlockedCells="1"/>
  <mergeCells count="11">
    <mergeCell ref="A118:E118"/>
    <mergeCell ref="A70:E70"/>
    <mergeCell ref="A82:E82"/>
    <mergeCell ref="A94:E94"/>
    <mergeCell ref="A106:E106"/>
    <mergeCell ref="Z2:AA2"/>
    <mergeCell ref="A56:E56"/>
    <mergeCell ref="A11:E11"/>
    <mergeCell ref="A22:E22"/>
    <mergeCell ref="A33:E33"/>
    <mergeCell ref="A44:E44"/>
  </mergeCells>
  <pageMargins left="0.2" right="0.25" top="0.5" bottom="0.5" header="0.3" footer="0.3"/>
  <pageSetup scale="66" orientation="landscape" r:id="rId1"/>
  <ignoredErrors>
    <ignoredError sqref="AB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7DA55BB-015E-439E-AC0E-46CAB565C55C}">
          <x14:formula1>
            <xm:f>OFFSET(Parameters!$H$2,0,0,NumVal)</xm:f>
          </x14:formula1>
          <xm:sqref>X3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81D6-3A2E-4514-BE63-03D39B217DDA}">
  <sheetPr codeName="Sheet5">
    <outlinePr showOutlineSymbols="0"/>
    <pageSetUpPr fitToPage="1"/>
  </sheetPr>
  <dimension ref="A1:FC38"/>
  <sheetViews>
    <sheetView tabSelected="1" showOutlineSymbols="0" zoomScaleNormal="100" workbookViewId="0">
      <pane xSplit="4" ySplit="6" topLeftCell="T7" activePane="bottomRight" state="frozen"/>
      <selection pane="topRight" activeCell="G1" sqref="G1"/>
      <selection pane="bottomLeft" activeCell="A7" sqref="A7"/>
      <selection pane="bottomRight" activeCell="Y6" sqref="Y6"/>
    </sheetView>
  </sheetViews>
  <sheetFormatPr baseColWidth="10" defaultColWidth="0" defaultRowHeight="16" x14ac:dyDescent="0.45"/>
  <cols>
    <col min="1" max="1" width="14.453125" style="5" customWidth="1"/>
    <col min="2" max="2" width="13.453125" style="5" bestFit="1" customWidth="1"/>
    <col min="3" max="3" width="16" style="5" customWidth="1"/>
    <col min="4" max="4" width="9.1796875" style="5" customWidth="1"/>
    <col min="5" max="5" width="13" style="5" customWidth="1"/>
    <col min="6" max="7" width="14.81640625" style="5" customWidth="1"/>
    <col min="8" max="8" width="13.81640625" style="5" customWidth="1"/>
    <col min="9" max="11" width="10.81640625" style="2" customWidth="1"/>
    <col min="12" max="16" width="11.81640625" style="2" customWidth="1"/>
    <col min="17" max="19" width="10.81640625" style="2" customWidth="1"/>
    <col min="20" max="24" width="11.81640625" style="2" customWidth="1"/>
    <col min="25" max="25" width="23.81640625" style="3" bestFit="1" customWidth="1"/>
    <col min="26" max="26" width="11.81640625" style="3" bestFit="1" customWidth="1"/>
    <col min="27" max="27" width="11.1796875" style="3" customWidth="1"/>
    <col min="30" max="30" width="15.453125" style="20" customWidth="1"/>
    <col min="31" max="31" width="11.81640625" style="20" customWidth="1"/>
    <col min="32" max="32" width="23.81640625" style="20" bestFit="1" customWidth="1"/>
    <col min="33" max="33" width="11.81640625" style="20" customWidth="1"/>
    <col min="34" max="34" width="11.1796875" style="20" customWidth="1"/>
    <col min="35" max="35" width="15.453125" style="2" customWidth="1"/>
    <col min="36" max="36" width="11.81640625" style="2" customWidth="1"/>
    <col min="37" max="37" width="18.81640625" style="2" bestFit="1" customWidth="1"/>
    <col min="38" max="38" width="19" style="2" bestFit="1" customWidth="1"/>
    <col min="39" max="39" width="11.81640625" style="2" customWidth="1"/>
    <col min="40" max="40" width="14.81640625" style="2" bestFit="1" customWidth="1"/>
    <col min="41" max="41" width="14.81640625" style="2" customWidth="1"/>
    <col min="42" max="42" width="14.81640625" style="2" bestFit="1" customWidth="1"/>
    <col min="43" max="51" width="14.81640625" style="2" customWidth="1"/>
    <col min="52" max="53" width="11.81640625" customWidth="1"/>
    <col min="54" max="54" width="16.453125" style="5" customWidth="1"/>
    <col min="55" max="55" width="10.81640625" style="5" customWidth="1"/>
    <col min="56" max="57" width="11.81640625" style="5" customWidth="1"/>
    <col min="58" max="58" width="16.453125" style="5" customWidth="1"/>
    <col min="59" max="59" width="10.81640625" style="5" customWidth="1"/>
    <col min="60" max="60" width="12.453125" style="5" customWidth="1"/>
    <col min="61" max="61" width="12.81640625" style="5" customWidth="1"/>
    <col min="62" max="62" width="14.81640625" style="5" customWidth="1"/>
    <col min="63" max="63" width="12.453125" style="5" customWidth="1"/>
    <col min="64" max="75" width="14.81640625" style="5" customWidth="1"/>
    <col min="76" max="77" width="10.1796875" style="5" customWidth="1"/>
    <col min="78" max="78" width="16.1796875" style="5" customWidth="1"/>
    <col min="79" max="79" width="11.1796875" style="5" customWidth="1"/>
    <col min="80" max="81" width="10.1796875" style="5" customWidth="1"/>
    <col min="82" max="82" width="16.453125" style="5" customWidth="1"/>
    <col min="83" max="83" width="10.1796875" style="5" customWidth="1"/>
    <col min="84" max="84" width="12.54296875" style="5" customWidth="1"/>
    <col min="85" max="85" width="15.54296875" style="5" customWidth="1"/>
    <col min="86" max="86" width="17.453125" style="5" customWidth="1"/>
    <col min="87" max="87" width="14.453125" style="5" customWidth="1"/>
    <col min="88" max="99" width="14.81640625" style="5" customWidth="1"/>
    <col min="100" max="101" width="10.1796875" style="5" customWidth="1"/>
    <col min="102" max="102" width="17.453125" style="5" bestFit="1" customWidth="1"/>
    <col min="103" max="105" width="10.1796875" style="5" customWidth="1"/>
    <col min="106" max="106" width="16.453125" style="5" customWidth="1"/>
    <col min="107" max="107" width="10.1796875" style="5" customWidth="1"/>
    <col min="108" max="108" width="13.1796875" style="5" customWidth="1"/>
    <col min="109" max="109" width="16" style="5" customWidth="1"/>
    <col min="110" max="110" width="17.453125" style="5" customWidth="1"/>
    <col min="111" max="111" width="11.81640625" style="5" customWidth="1"/>
    <col min="112" max="123" width="14.81640625" style="5" customWidth="1"/>
    <col min="124" max="125" width="10.1796875" style="5" customWidth="1"/>
    <col min="126" max="126" width="16.453125" style="5" bestFit="1" customWidth="1"/>
    <col min="127" max="129" width="10.1796875" style="5" customWidth="1"/>
    <col min="130" max="130" width="16.453125" style="5" customWidth="1"/>
    <col min="131" max="131" width="10.1796875" style="5" customWidth="1"/>
    <col min="132" max="132" width="14.1796875" style="5" customWidth="1"/>
    <col min="133" max="133" width="15.1796875" style="5" customWidth="1"/>
    <col min="134" max="134" width="14.453125" style="5" customWidth="1"/>
    <col min="135" max="135" width="23.54296875" style="5" customWidth="1"/>
    <col min="136" max="136" width="36.453125" style="5" customWidth="1"/>
    <col min="137" max="137" width="9.453125" style="5" customWidth="1"/>
    <col min="138" max="138" width="60.453125" style="5" bestFit="1" customWidth="1"/>
    <col min="139" max="159" width="0" style="5" hidden="1" customWidth="1"/>
    <col min="160" max="16384" width="9.1796875" style="5" hidden="1"/>
  </cols>
  <sheetData>
    <row r="1" spans="1:138" ht="18" customHeight="1" x14ac:dyDescent="0.55000000000000004">
      <c r="A1" s="173" t="s">
        <v>88</v>
      </c>
      <c r="B1" s="174"/>
      <c r="C1" s="175" t="s">
        <v>89</v>
      </c>
      <c r="AB1" s="3"/>
      <c r="AC1" s="20"/>
      <c r="AD1" s="4"/>
      <c r="AE1" s="2"/>
      <c r="AF1" s="2"/>
      <c r="AG1" s="2"/>
      <c r="AH1" s="2"/>
      <c r="AT1" s="5"/>
      <c r="AU1" s="5"/>
      <c r="AV1" s="5"/>
      <c r="AW1" s="5"/>
      <c r="AX1" s="5"/>
      <c r="AY1" s="5"/>
      <c r="AZ1" s="5"/>
      <c r="BA1" s="5"/>
    </row>
    <row r="2" spans="1:138" ht="18" customHeight="1" x14ac:dyDescent="0.55000000000000004">
      <c r="A2" s="176" t="s">
        <v>90</v>
      </c>
      <c r="B2" s="174"/>
      <c r="C2" s="177" t="s">
        <v>91</v>
      </c>
      <c r="AB2" s="3"/>
      <c r="AC2" s="20"/>
      <c r="AD2" s="4"/>
      <c r="AE2" s="2"/>
      <c r="AF2" s="2"/>
      <c r="AG2" s="2"/>
      <c r="AH2" s="2"/>
      <c r="AT2" s="5"/>
      <c r="AU2" s="5"/>
      <c r="AV2" s="5"/>
      <c r="AW2" s="5"/>
      <c r="AX2" s="5"/>
      <c r="AY2" s="5"/>
      <c r="AZ2" s="5"/>
      <c r="BA2" s="5"/>
    </row>
    <row r="3" spans="1:138" ht="18" customHeight="1" x14ac:dyDescent="0.55000000000000004">
      <c r="A3" s="178" t="s">
        <v>92</v>
      </c>
      <c r="B3" s="174"/>
      <c r="C3" s="179" t="s">
        <v>93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AB3" s="3"/>
      <c r="AC3" s="20"/>
      <c r="AD3" s="4"/>
      <c r="AE3" s="2"/>
      <c r="AF3" s="2"/>
      <c r="AG3" s="2"/>
      <c r="AH3" s="2"/>
      <c r="AT3" s="5"/>
      <c r="AU3" s="5"/>
      <c r="AV3" s="5"/>
      <c r="AW3" s="5"/>
      <c r="AX3" s="5"/>
      <c r="AY3" s="5"/>
      <c r="AZ3" s="5"/>
      <c r="BA3" s="5"/>
    </row>
    <row r="4" spans="1:138" ht="18" customHeight="1" x14ac:dyDescent="0.55000000000000004">
      <c r="A4" s="174"/>
      <c r="B4" s="174"/>
      <c r="C4" s="180" t="s">
        <v>94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AB4" s="3"/>
      <c r="AC4" s="20"/>
      <c r="AD4" s="4"/>
      <c r="AE4" s="2"/>
      <c r="AF4" s="2"/>
      <c r="AG4" s="2"/>
      <c r="AH4" s="2"/>
      <c r="AT4" s="5"/>
      <c r="AU4" s="5"/>
      <c r="AV4" s="5"/>
      <c r="AW4" s="5"/>
      <c r="AX4" s="5"/>
      <c r="AY4" s="5"/>
      <c r="AZ4" s="5"/>
      <c r="BA4" s="5"/>
    </row>
    <row r="5" spans="1:138" s="191" customFormat="1" ht="18" customHeight="1" x14ac:dyDescent="0.35">
      <c r="A5" s="181"/>
      <c r="B5" s="181" t="s">
        <v>88</v>
      </c>
      <c r="C5" s="181"/>
      <c r="D5" s="181"/>
      <c r="E5" s="181"/>
      <c r="F5" s="182"/>
      <c r="G5" s="182" t="s">
        <v>95</v>
      </c>
      <c r="H5" s="182"/>
      <c r="I5" s="182" t="s">
        <v>95</v>
      </c>
      <c r="J5" s="182"/>
      <c r="K5" s="182"/>
      <c r="L5" s="182"/>
      <c r="M5" s="182" t="s">
        <v>95</v>
      </c>
      <c r="N5" s="182"/>
      <c r="O5" s="182"/>
      <c r="P5" s="182"/>
      <c r="Q5" s="182"/>
      <c r="R5" s="182"/>
      <c r="S5" s="182"/>
      <c r="T5" s="182" t="s">
        <v>95</v>
      </c>
      <c r="U5" s="182"/>
      <c r="V5" s="182"/>
      <c r="W5" s="182"/>
      <c r="X5" s="182"/>
      <c r="Y5" s="183" t="s">
        <v>96</v>
      </c>
      <c r="Z5" s="183"/>
      <c r="AA5" s="183"/>
      <c r="AB5" s="183"/>
      <c r="AC5" s="183"/>
      <c r="AD5" s="184"/>
      <c r="AE5" s="183" t="s">
        <v>96</v>
      </c>
      <c r="AF5" s="185"/>
      <c r="AG5" s="185"/>
      <c r="AH5" s="185"/>
      <c r="AI5" s="183" t="s">
        <v>96</v>
      </c>
      <c r="AJ5" s="185"/>
      <c r="AK5" s="185"/>
      <c r="AL5" s="183" t="s">
        <v>96</v>
      </c>
      <c r="AM5" s="186"/>
      <c r="AN5" s="186"/>
      <c r="AO5" s="186" t="s">
        <v>97</v>
      </c>
      <c r="AP5" s="186"/>
      <c r="AQ5" s="186"/>
      <c r="AR5" s="186"/>
      <c r="AS5" s="186" t="s">
        <v>97</v>
      </c>
      <c r="AT5" s="186"/>
      <c r="AU5" s="186"/>
      <c r="AV5" s="186"/>
      <c r="AW5" s="186" t="s">
        <v>97</v>
      </c>
      <c r="AX5" s="186"/>
      <c r="AY5" s="186"/>
      <c r="AZ5" s="186"/>
      <c r="BA5" s="186" t="s">
        <v>97</v>
      </c>
      <c r="BB5" s="186"/>
      <c r="BC5" s="186"/>
      <c r="BD5" s="186"/>
      <c r="BE5" s="186" t="s">
        <v>97</v>
      </c>
      <c r="BF5" s="186"/>
      <c r="BG5" s="186"/>
      <c r="BH5" s="186"/>
      <c r="BI5" s="186"/>
      <c r="BJ5" s="187" t="s">
        <v>97</v>
      </c>
      <c r="BK5" s="188"/>
      <c r="BL5" s="188" t="s">
        <v>98</v>
      </c>
      <c r="BM5" s="188"/>
      <c r="BN5" s="188"/>
      <c r="BO5" s="188" t="s">
        <v>98</v>
      </c>
      <c r="BP5" s="188"/>
      <c r="BQ5" s="188"/>
      <c r="BR5" s="188"/>
      <c r="BS5" s="188"/>
      <c r="BT5" s="188" t="s">
        <v>98</v>
      </c>
      <c r="BU5" s="188"/>
      <c r="BV5" s="188"/>
      <c r="BW5" s="188" t="s">
        <v>98</v>
      </c>
      <c r="BX5" s="188"/>
      <c r="BY5" s="188"/>
      <c r="BZ5" s="188" t="s">
        <v>98</v>
      </c>
      <c r="CA5" s="188"/>
      <c r="CB5" s="188"/>
      <c r="CC5" s="188"/>
      <c r="CD5" s="188" t="s">
        <v>98</v>
      </c>
      <c r="CE5" s="188"/>
      <c r="CF5" s="188" t="s">
        <v>98</v>
      </c>
      <c r="CG5" s="188"/>
      <c r="CH5" s="188"/>
      <c r="CI5" s="189"/>
      <c r="CJ5" s="189" t="s">
        <v>99</v>
      </c>
      <c r="CK5" s="189"/>
      <c r="CL5" s="189"/>
      <c r="CM5" s="189"/>
      <c r="CN5" s="189" t="s">
        <v>99</v>
      </c>
      <c r="CO5" s="189"/>
      <c r="CP5" s="189"/>
      <c r="CQ5" s="189"/>
      <c r="CR5" s="189"/>
      <c r="CS5" s="189"/>
      <c r="CT5" s="189" t="s">
        <v>99</v>
      </c>
      <c r="CU5" s="189"/>
      <c r="CV5" s="189"/>
      <c r="CW5" s="189"/>
      <c r="CX5" s="189"/>
      <c r="CY5" s="189" t="s">
        <v>99</v>
      </c>
      <c r="CZ5" s="189"/>
      <c r="DA5" s="189"/>
      <c r="DB5" s="189"/>
      <c r="DC5" s="189"/>
      <c r="DD5" s="189" t="s">
        <v>99</v>
      </c>
      <c r="DE5" s="189"/>
      <c r="DF5" s="189"/>
      <c r="DG5" s="190"/>
      <c r="DH5" s="190" t="s">
        <v>100</v>
      </c>
      <c r="DI5" s="190"/>
      <c r="DJ5" s="190"/>
      <c r="DK5" s="190"/>
      <c r="DL5" s="190" t="s">
        <v>100</v>
      </c>
      <c r="DM5" s="190"/>
      <c r="DN5" s="190"/>
      <c r="DO5" s="190"/>
      <c r="DP5" s="190" t="s">
        <v>100</v>
      </c>
      <c r="DQ5" s="190"/>
      <c r="DR5" s="190"/>
      <c r="DS5" s="190"/>
      <c r="DT5" s="190" t="s">
        <v>100</v>
      </c>
      <c r="DU5" s="190"/>
      <c r="DV5" s="190"/>
      <c r="DW5" s="190"/>
      <c r="DX5" s="190"/>
      <c r="DY5" s="190" t="s">
        <v>100</v>
      </c>
      <c r="DZ5" s="190"/>
      <c r="EA5" s="190"/>
      <c r="EB5" s="190" t="s">
        <v>100</v>
      </c>
      <c r="EC5" s="190"/>
      <c r="ED5" s="190"/>
    </row>
    <row r="6" spans="1:138" s="167" customFormat="1" ht="112.75" customHeight="1" x14ac:dyDescent="0.35">
      <c r="A6" s="165" t="s">
        <v>101</v>
      </c>
      <c r="B6" s="165" t="s">
        <v>102</v>
      </c>
      <c r="C6" s="165" t="s">
        <v>103</v>
      </c>
      <c r="D6" s="165" t="s">
        <v>104</v>
      </c>
      <c r="E6" s="165" t="s">
        <v>105</v>
      </c>
      <c r="F6" s="165" t="s">
        <v>106</v>
      </c>
      <c r="G6" s="165" t="s">
        <v>107</v>
      </c>
      <c r="H6" s="165" t="s">
        <v>108</v>
      </c>
      <c r="I6" s="164" t="s">
        <v>109</v>
      </c>
      <c r="J6" s="164" t="s">
        <v>110</v>
      </c>
      <c r="K6" s="164" t="s">
        <v>111</v>
      </c>
      <c r="L6" s="164" t="s">
        <v>112</v>
      </c>
      <c r="M6" s="164" t="s">
        <v>113</v>
      </c>
      <c r="N6" s="164" t="s">
        <v>172</v>
      </c>
      <c r="O6" s="164" t="s">
        <v>173</v>
      </c>
      <c r="P6" s="164" t="s">
        <v>174</v>
      </c>
      <c r="Q6" s="164" t="s">
        <v>114</v>
      </c>
      <c r="R6" s="164" t="s">
        <v>115</v>
      </c>
      <c r="S6" s="164" t="s">
        <v>116</v>
      </c>
      <c r="T6" s="164" t="s">
        <v>117</v>
      </c>
      <c r="U6" s="164" t="s">
        <v>118</v>
      </c>
      <c r="V6" s="164" t="s">
        <v>175</v>
      </c>
      <c r="W6" s="164" t="s">
        <v>176</v>
      </c>
      <c r="X6" s="164" t="s">
        <v>177</v>
      </c>
      <c r="Y6" s="164" t="s">
        <v>119</v>
      </c>
      <c r="Z6" s="164" t="s">
        <v>120</v>
      </c>
      <c r="AA6" s="165" t="s">
        <v>121</v>
      </c>
      <c r="AB6" s="166"/>
      <c r="AC6" s="166"/>
      <c r="AD6" s="163" t="s">
        <v>122</v>
      </c>
      <c r="AE6" s="163" t="s">
        <v>123</v>
      </c>
      <c r="AF6" s="164" t="s">
        <v>124</v>
      </c>
      <c r="AG6" s="164" t="s">
        <v>125</v>
      </c>
      <c r="AH6" s="165" t="s">
        <v>121</v>
      </c>
      <c r="AI6" s="163" t="s">
        <v>126</v>
      </c>
      <c r="AJ6" s="163" t="s">
        <v>127</v>
      </c>
      <c r="AK6" s="163" t="s">
        <v>128</v>
      </c>
      <c r="AL6" s="163" t="s">
        <v>129</v>
      </c>
      <c r="AM6" s="163" t="s">
        <v>130</v>
      </c>
      <c r="AN6" s="163" t="s">
        <v>131</v>
      </c>
      <c r="AO6" s="163" t="s">
        <v>132</v>
      </c>
      <c r="AP6" s="163" t="s">
        <v>133</v>
      </c>
      <c r="AQ6" s="163" t="s">
        <v>134</v>
      </c>
      <c r="AR6" s="163" t="s">
        <v>135</v>
      </c>
      <c r="AS6" s="163" t="s">
        <v>136</v>
      </c>
      <c r="AT6" s="163" t="s">
        <v>137</v>
      </c>
      <c r="AU6" s="163" t="s">
        <v>138</v>
      </c>
      <c r="AV6" s="163" t="s">
        <v>139</v>
      </c>
      <c r="AW6" s="163" t="s">
        <v>140</v>
      </c>
      <c r="AX6" s="163" t="s">
        <v>141</v>
      </c>
      <c r="AY6" s="163" t="s">
        <v>142</v>
      </c>
      <c r="AZ6" s="163" t="s">
        <v>143</v>
      </c>
      <c r="BA6" s="163" t="s">
        <v>144</v>
      </c>
      <c r="BB6" s="163" t="s">
        <v>145</v>
      </c>
      <c r="BC6" s="163" t="s">
        <v>146</v>
      </c>
      <c r="BD6" s="163" t="s">
        <v>147</v>
      </c>
      <c r="BE6" s="163" t="s">
        <v>148</v>
      </c>
      <c r="BF6" s="163" t="s">
        <v>145</v>
      </c>
      <c r="BG6" s="163" t="s">
        <v>149</v>
      </c>
      <c r="BH6" s="163" t="s">
        <v>150</v>
      </c>
      <c r="BI6" s="163" t="s">
        <v>151</v>
      </c>
      <c r="BJ6" s="163" t="s">
        <v>152</v>
      </c>
      <c r="BK6" s="163" t="s">
        <v>153</v>
      </c>
      <c r="BL6" s="163" t="s">
        <v>131</v>
      </c>
      <c r="BM6" s="163" t="s">
        <v>132</v>
      </c>
      <c r="BN6" s="163" t="s">
        <v>133</v>
      </c>
      <c r="BO6" s="163" t="s">
        <v>134</v>
      </c>
      <c r="BP6" s="163" t="s">
        <v>135</v>
      </c>
      <c r="BQ6" s="163" t="s">
        <v>136</v>
      </c>
      <c r="BR6" s="163" t="s">
        <v>137</v>
      </c>
      <c r="BS6" s="163" t="s">
        <v>138</v>
      </c>
      <c r="BT6" s="163" t="s">
        <v>139</v>
      </c>
      <c r="BU6" s="163" t="s">
        <v>140</v>
      </c>
      <c r="BV6" s="163" t="s">
        <v>141</v>
      </c>
      <c r="BW6" s="163" t="s">
        <v>142</v>
      </c>
      <c r="BX6" s="163" t="s">
        <v>143</v>
      </c>
      <c r="BY6" s="163" t="s">
        <v>144</v>
      </c>
      <c r="BZ6" s="163" t="s">
        <v>145</v>
      </c>
      <c r="CA6" s="163" t="s">
        <v>146</v>
      </c>
      <c r="CB6" s="163" t="s">
        <v>147</v>
      </c>
      <c r="CC6" s="163" t="s">
        <v>148</v>
      </c>
      <c r="CD6" s="163" t="s">
        <v>145</v>
      </c>
      <c r="CE6" s="163" t="s">
        <v>149</v>
      </c>
      <c r="CF6" s="163" t="s">
        <v>150</v>
      </c>
      <c r="CG6" s="163" t="s">
        <v>151</v>
      </c>
      <c r="CH6" s="163" t="s">
        <v>152</v>
      </c>
      <c r="CI6" s="163" t="s">
        <v>154</v>
      </c>
      <c r="CJ6" s="163" t="s">
        <v>131</v>
      </c>
      <c r="CK6" s="163" t="s">
        <v>132</v>
      </c>
      <c r="CL6" s="163" t="s">
        <v>133</v>
      </c>
      <c r="CM6" s="163" t="s">
        <v>155</v>
      </c>
      <c r="CN6" s="163" t="s">
        <v>135</v>
      </c>
      <c r="CO6" s="163" t="s">
        <v>136</v>
      </c>
      <c r="CP6" s="163" t="s">
        <v>137</v>
      </c>
      <c r="CQ6" s="163" t="s">
        <v>138</v>
      </c>
      <c r="CR6" s="163" t="s">
        <v>139</v>
      </c>
      <c r="CS6" s="163" t="s">
        <v>140</v>
      </c>
      <c r="CT6" s="163" t="s">
        <v>141</v>
      </c>
      <c r="CU6" s="163" t="s">
        <v>142</v>
      </c>
      <c r="CV6" s="163" t="s">
        <v>143</v>
      </c>
      <c r="CW6" s="163" t="s">
        <v>144</v>
      </c>
      <c r="CX6" s="163" t="s">
        <v>145</v>
      </c>
      <c r="CY6" s="163" t="s">
        <v>146</v>
      </c>
      <c r="CZ6" s="163" t="s">
        <v>147</v>
      </c>
      <c r="DA6" s="163" t="s">
        <v>148</v>
      </c>
      <c r="DB6" s="163" t="s">
        <v>145</v>
      </c>
      <c r="DC6" s="163" t="s">
        <v>149</v>
      </c>
      <c r="DD6" s="163" t="s">
        <v>150</v>
      </c>
      <c r="DE6" s="163" t="s">
        <v>151</v>
      </c>
      <c r="DF6" s="163" t="s">
        <v>152</v>
      </c>
      <c r="DG6" s="163" t="s">
        <v>156</v>
      </c>
      <c r="DH6" s="163" t="s">
        <v>131</v>
      </c>
      <c r="DI6" s="163" t="s">
        <v>132</v>
      </c>
      <c r="DJ6" s="163" t="s">
        <v>133</v>
      </c>
      <c r="DK6" s="163" t="s">
        <v>134</v>
      </c>
      <c r="DL6" s="163" t="s">
        <v>135</v>
      </c>
      <c r="DM6" s="163" t="s">
        <v>136</v>
      </c>
      <c r="DN6" s="163" t="s">
        <v>137</v>
      </c>
      <c r="DO6" s="163" t="s">
        <v>138</v>
      </c>
      <c r="DP6" s="163" t="s">
        <v>139</v>
      </c>
      <c r="DQ6" s="163" t="s">
        <v>140</v>
      </c>
      <c r="DR6" s="163" t="s">
        <v>141</v>
      </c>
      <c r="DS6" s="163" t="s">
        <v>142</v>
      </c>
      <c r="DT6" s="163" t="s">
        <v>143</v>
      </c>
      <c r="DU6" s="163" t="s">
        <v>144</v>
      </c>
      <c r="DV6" s="163" t="s">
        <v>145</v>
      </c>
      <c r="DW6" s="163" t="s">
        <v>146</v>
      </c>
      <c r="DX6" s="163" t="s">
        <v>147</v>
      </c>
      <c r="DY6" s="163" t="s">
        <v>148</v>
      </c>
      <c r="DZ6" s="163" t="s">
        <v>145</v>
      </c>
      <c r="EA6" s="163" t="s">
        <v>149</v>
      </c>
      <c r="EB6" s="163" t="s">
        <v>150</v>
      </c>
      <c r="EC6" s="163" t="s">
        <v>151</v>
      </c>
      <c r="ED6" s="163" t="s">
        <v>152</v>
      </c>
      <c r="EE6" s="163" t="s">
        <v>157</v>
      </c>
      <c r="EF6" s="170"/>
      <c r="EG6" s="171"/>
      <c r="EH6" s="171"/>
    </row>
    <row r="7" spans="1:138" x14ac:dyDescent="0.45">
      <c r="A7" s="31"/>
      <c r="B7" s="31"/>
      <c r="C7" s="31"/>
      <c r="D7" s="31"/>
      <c r="E7" s="31"/>
      <c r="F7" s="31"/>
      <c r="G7" s="162"/>
      <c r="H7" s="145"/>
      <c r="I7" s="160"/>
      <c r="J7" s="160"/>
      <c r="K7" s="160"/>
      <c r="L7" s="160"/>
      <c r="M7" s="169"/>
      <c r="N7" s="160"/>
      <c r="O7" s="160"/>
      <c r="P7" s="160"/>
      <c r="Q7" s="147"/>
      <c r="R7" s="147"/>
      <c r="S7" s="147"/>
      <c r="T7" s="147"/>
      <c r="U7" s="169"/>
      <c r="V7" s="147"/>
      <c r="W7" s="147"/>
      <c r="X7" s="147"/>
      <c r="Y7" s="152"/>
      <c r="Z7" s="153"/>
      <c r="AA7" s="154"/>
      <c r="AB7" s="153"/>
      <c r="AC7" s="153"/>
      <c r="AD7" s="155"/>
      <c r="AE7" s="154"/>
      <c r="AF7" s="148"/>
      <c r="AG7" s="149"/>
      <c r="AH7" s="139"/>
      <c r="AI7" s="147"/>
      <c r="AJ7" s="147"/>
      <c r="AK7" s="122"/>
      <c r="AL7" s="122"/>
      <c r="AM7" s="142"/>
      <c r="AN7" s="154"/>
      <c r="AO7" s="139"/>
      <c r="AP7" s="140"/>
      <c r="AQ7" s="154"/>
      <c r="AR7" s="139"/>
      <c r="AS7" s="140"/>
      <c r="AT7" s="154"/>
      <c r="AU7" s="139"/>
      <c r="AV7" s="140"/>
      <c r="AW7" s="154"/>
      <c r="AX7" s="139"/>
      <c r="AY7" s="140"/>
      <c r="AZ7" s="160"/>
      <c r="BA7" s="160"/>
      <c r="BB7" s="154"/>
      <c r="BC7" s="168"/>
      <c r="BD7" s="139"/>
      <c r="BE7" s="139"/>
      <c r="BF7" s="139"/>
      <c r="BG7" s="168"/>
      <c r="BH7" s="19"/>
      <c r="BI7" s="19"/>
      <c r="BJ7" s="19"/>
      <c r="BK7" s="142"/>
      <c r="BL7" s="154"/>
      <c r="BM7" s="139"/>
      <c r="BN7" s="140"/>
      <c r="BO7" s="154"/>
      <c r="BP7" s="139"/>
      <c r="BQ7" s="140"/>
      <c r="BR7" s="154"/>
      <c r="BS7" s="139"/>
      <c r="BT7" s="140"/>
      <c r="BU7" s="154"/>
      <c r="BV7" s="139"/>
      <c r="BW7" s="140"/>
      <c r="BX7" s="160"/>
      <c r="BY7" s="160"/>
      <c r="BZ7" s="154"/>
      <c r="CA7" s="17"/>
      <c r="CB7" s="139"/>
      <c r="CC7" s="139"/>
      <c r="CD7" s="139"/>
      <c r="CE7" s="17"/>
      <c r="CF7" s="19"/>
      <c r="CG7" s="19"/>
      <c r="CH7" s="19"/>
      <c r="CI7" s="142"/>
      <c r="CJ7" s="154"/>
      <c r="CK7" s="139"/>
      <c r="CL7" s="140"/>
      <c r="CM7" s="154"/>
      <c r="CN7" s="139"/>
      <c r="CO7" s="140"/>
      <c r="CP7" s="154"/>
      <c r="CQ7" s="139"/>
      <c r="CR7" s="140"/>
      <c r="CS7" s="154"/>
      <c r="CT7" s="139"/>
      <c r="CU7" s="140"/>
      <c r="CV7" s="160"/>
      <c r="CW7" s="160"/>
      <c r="CX7" s="154"/>
      <c r="CY7" s="17"/>
      <c r="CZ7" s="139"/>
      <c r="DA7" s="139"/>
      <c r="DB7" s="139"/>
      <c r="DC7" s="17"/>
      <c r="DD7" s="19"/>
      <c r="DE7" s="19"/>
      <c r="DF7" s="19"/>
      <c r="DG7" s="142"/>
      <c r="DH7" s="154"/>
      <c r="DI7" s="139"/>
      <c r="DJ7" s="140"/>
      <c r="DK7" s="154"/>
      <c r="DL7" s="139"/>
      <c r="DM7" s="140"/>
      <c r="DN7" s="154"/>
      <c r="DO7" s="139"/>
      <c r="DP7" s="140"/>
      <c r="DQ7" s="154"/>
      <c r="DR7" s="139"/>
      <c r="DS7" s="140"/>
      <c r="DT7" s="154"/>
      <c r="DU7" s="154"/>
      <c r="DV7" s="154"/>
      <c r="DW7" s="168"/>
      <c r="DX7" s="139"/>
      <c r="DY7" s="139"/>
      <c r="DZ7" s="139"/>
      <c r="EA7" s="168"/>
      <c r="EB7" s="19"/>
      <c r="EC7" s="19"/>
      <c r="ED7" s="19"/>
      <c r="EE7" s="17"/>
      <c r="EF7" s="94"/>
    </row>
    <row r="8" spans="1:138" x14ac:dyDescent="0.45">
      <c r="A8" s="31"/>
      <c r="B8" s="31"/>
      <c r="C8" s="31"/>
      <c r="D8" s="31"/>
      <c r="E8" s="31"/>
      <c r="F8" s="31"/>
      <c r="G8" s="162"/>
      <c r="H8" s="145"/>
      <c r="I8" s="161"/>
      <c r="J8" s="161"/>
      <c r="K8" s="161"/>
      <c r="L8" s="161"/>
      <c r="M8" s="169" t="str">
        <f t="shared" ref="M8:M37" si="0">IF(OR(I8="",K8="")=TRUE,"",ABS(K8-I8))</f>
        <v/>
      </c>
      <c r="N8" s="161"/>
      <c r="O8" s="161"/>
      <c r="P8" s="161"/>
      <c r="Q8" s="143"/>
      <c r="R8" s="143"/>
      <c r="S8" s="143"/>
      <c r="T8" s="143"/>
      <c r="U8" s="169" t="str">
        <f t="shared" ref="U8:U37" si="1">IF(OR(S8="",Q8="")=TRUE,"",ABS(S8-Q8))</f>
        <v/>
      </c>
      <c r="V8" s="143"/>
      <c r="W8" s="143"/>
      <c r="X8" s="143"/>
      <c r="Y8" s="152"/>
      <c r="Z8" s="153"/>
      <c r="AA8" s="154"/>
      <c r="AB8" s="156"/>
      <c r="AC8" s="156"/>
      <c r="AD8" s="157"/>
      <c r="AE8" s="158"/>
      <c r="AF8" s="148"/>
      <c r="AG8" s="149"/>
      <c r="AH8" s="150"/>
      <c r="AI8" s="143"/>
      <c r="AJ8" s="143"/>
      <c r="AK8" s="81"/>
      <c r="AL8" s="81"/>
      <c r="AM8" s="138"/>
      <c r="AN8" s="154"/>
      <c r="AO8" s="139"/>
      <c r="AP8" s="140"/>
      <c r="AQ8" s="154"/>
      <c r="AR8" s="139"/>
      <c r="AS8" s="140"/>
      <c r="AT8" s="154"/>
      <c r="AU8" s="139"/>
      <c r="AV8" s="140"/>
      <c r="AW8" s="154"/>
      <c r="AX8" s="139"/>
      <c r="AY8" s="140"/>
      <c r="AZ8" s="161"/>
      <c r="BA8" s="161"/>
      <c r="BB8" s="162"/>
      <c r="BC8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8" s="145"/>
      <c r="BE8" s="145"/>
      <c r="BF8" s="145"/>
      <c r="BG8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8" s="31"/>
      <c r="BI8" s="31"/>
      <c r="BJ8" s="31"/>
      <c r="BK8" s="138"/>
      <c r="BL8" s="154"/>
      <c r="BM8" s="139"/>
      <c r="BN8" s="140"/>
      <c r="BO8" s="154"/>
      <c r="BP8" s="139"/>
      <c r="BQ8" s="140"/>
      <c r="BR8" s="154"/>
      <c r="BS8" s="139"/>
      <c r="BT8" s="140"/>
      <c r="BU8" s="154"/>
      <c r="BV8" s="139"/>
      <c r="BW8" s="140"/>
      <c r="BX8" s="162"/>
      <c r="BY8" s="162"/>
      <c r="BZ8" s="162"/>
      <c r="CA8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8" s="145"/>
      <c r="CC8" s="145"/>
      <c r="CD8" s="145"/>
      <c r="CE8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8" s="31"/>
      <c r="CG8" s="31"/>
      <c r="CH8" s="31"/>
      <c r="CI8" s="142"/>
      <c r="CJ8" s="154"/>
      <c r="CK8" s="139"/>
      <c r="CL8" s="140"/>
      <c r="CM8" s="154"/>
      <c r="CN8" s="139"/>
      <c r="CO8" s="140"/>
      <c r="CP8" s="154"/>
      <c r="CQ8" s="139"/>
      <c r="CR8" s="140"/>
      <c r="CS8" s="154"/>
      <c r="CT8" s="139"/>
      <c r="CU8" s="140"/>
      <c r="CV8" s="162"/>
      <c r="CW8" s="162"/>
      <c r="CX8" s="162"/>
      <c r="CY8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8" s="145"/>
      <c r="DA8" s="145"/>
      <c r="DB8" s="145"/>
      <c r="DC8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8" s="31"/>
      <c r="DE8" s="31"/>
      <c r="DF8" s="31"/>
      <c r="DG8" s="138"/>
      <c r="DH8" s="154"/>
      <c r="DI8" s="139"/>
      <c r="DJ8" s="140"/>
      <c r="DK8" s="154"/>
      <c r="DL8" s="139"/>
      <c r="DM8" s="140"/>
      <c r="DN8" s="154"/>
      <c r="DO8" s="139"/>
      <c r="DP8" s="140"/>
      <c r="DQ8" s="154"/>
      <c r="DR8" s="139"/>
      <c r="DS8" s="140"/>
      <c r="DT8" s="162"/>
      <c r="DU8" s="162"/>
      <c r="DV8" s="162"/>
      <c r="DW8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8" s="145"/>
      <c r="DY8" s="145"/>
      <c r="DZ8" s="145"/>
      <c r="EA8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8" s="31"/>
      <c r="EC8" s="31"/>
      <c r="ED8" s="31"/>
      <c r="EE8" s="31"/>
      <c r="EF8" s="94"/>
    </row>
    <row r="9" spans="1:138" x14ac:dyDescent="0.45">
      <c r="A9" s="31"/>
      <c r="B9" s="31"/>
      <c r="C9" s="31"/>
      <c r="D9" s="31"/>
      <c r="E9" s="31"/>
      <c r="F9" s="31"/>
      <c r="G9" s="162"/>
      <c r="H9" s="145"/>
      <c r="I9" s="161"/>
      <c r="J9" s="161"/>
      <c r="K9" s="161"/>
      <c r="L9" s="161"/>
      <c r="M9" s="169" t="str">
        <f t="shared" si="0"/>
        <v/>
      </c>
      <c r="N9" s="161"/>
      <c r="O9" s="161"/>
      <c r="P9" s="161"/>
      <c r="Q9" s="143"/>
      <c r="R9" s="143"/>
      <c r="S9" s="143"/>
      <c r="T9" s="143"/>
      <c r="U9" s="169" t="str">
        <f t="shared" si="1"/>
        <v/>
      </c>
      <c r="V9" s="143"/>
      <c r="W9" s="143"/>
      <c r="X9" s="143"/>
      <c r="Y9" s="152"/>
      <c r="Z9" s="153"/>
      <c r="AA9" s="154"/>
      <c r="AB9" s="156"/>
      <c r="AC9" s="156"/>
      <c r="AD9" s="157"/>
      <c r="AE9" s="158"/>
      <c r="AF9" s="148"/>
      <c r="AG9" s="149"/>
      <c r="AH9" s="150"/>
      <c r="AI9" s="143"/>
      <c r="AJ9" s="143"/>
      <c r="AK9" s="81"/>
      <c r="AL9" s="81"/>
      <c r="AM9" s="138"/>
      <c r="AN9" s="154"/>
      <c r="AO9" s="139"/>
      <c r="AP9" s="140"/>
      <c r="AQ9" s="154"/>
      <c r="AR9" s="139"/>
      <c r="AS9" s="140"/>
      <c r="AT9" s="154"/>
      <c r="AU9" s="139"/>
      <c r="AV9" s="140"/>
      <c r="AW9" s="154"/>
      <c r="AX9" s="139"/>
      <c r="AY9" s="140"/>
      <c r="AZ9" s="161"/>
      <c r="BA9" s="161"/>
      <c r="BB9" s="162"/>
      <c r="BC9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9" s="145"/>
      <c r="BE9" s="145"/>
      <c r="BF9" s="145"/>
      <c r="BG9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9" s="31"/>
      <c r="BI9" s="31"/>
      <c r="BJ9" s="31"/>
      <c r="BK9" s="138"/>
      <c r="BL9" s="154"/>
      <c r="BM9" s="139"/>
      <c r="BN9" s="140"/>
      <c r="BO9" s="154"/>
      <c r="BP9" s="139"/>
      <c r="BQ9" s="140"/>
      <c r="BR9" s="154"/>
      <c r="BS9" s="139"/>
      <c r="BT9" s="140"/>
      <c r="BU9" s="154"/>
      <c r="BV9" s="139"/>
      <c r="BW9" s="140"/>
      <c r="BX9" s="162"/>
      <c r="BY9" s="162"/>
      <c r="BZ9" s="162"/>
      <c r="CA9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9" s="145"/>
      <c r="CC9" s="145"/>
      <c r="CD9" s="145"/>
      <c r="CE9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9" s="31"/>
      <c r="CG9" s="31"/>
      <c r="CH9" s="31"/>
      <c r="CI9" s="142"/>
      <c r="CJ9" s="154"/>
      <c r="CK9" s="139"/>
      <c r="CL9" s="140"/>
      <c r="CM9" s="154"/>
      <c r="CN9" s="139"/>
      <c r="CO9" s="140"/>
      <c r="CP9" s="154"/>
      <c r="CQ9" s="139"/>
      <c r="CR9" s="140"/>
      <c r="CS9" s="154"/>
      <c r="CT9" s="139"/>
      <c r="CU9" s="140"/>
      <c r="CV9" s="162"/>
      <c r="CW9" s="162"/>
      <c r="CX9" s="162"/>
      <c r="CY9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9" s="145"/>
      <c r="DA9" s="145"/>
      <c r="DB9" s="145"/>
      <c r="DC9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9" s="31"/>
      <c r="DE9" s="31"/>
      <c r="DF9" s="31"/>
      <c r="DG9" s="138"/>
      <c r="DH9" s="154"/>
      <c r="DI9" s="139"/>
      <c r="DJ9" s="140"/>
      <c r="DK9" s="154"/>
      <c r="DL9" s="139"/>
      <c r="DM9" s="140"/>
      <c r="DN9" s="154"/>
      <c r="DO9" s="139"/>
      <c r="DP9" s="140"/>
      <c r="DQ9" s="154"/>
      <c r="DR9" s="139"/>
      <c r="DS9" s="140"/>
      <c r="DT9" s="162"/>
      <c r="DU9" s="162"/>
      <c r="DV9" s="162"/>
      <c r="DW9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9" s="145"/>
      <c r="DY9" s="145"/>
      <c r="DZ9" s="145"/>
      <c r="EA9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9" s="31"/>
      <c r="EC9" s="31"/>
      <c r="ED9" s="31"/>
      <c r="EE9" s="31"/>
      <c r="EF9" s="94"/>
    </row>
    <row r="10" spans="1:138" x14ac:dyDescent="0.45">
      <c r="A10" s="31"/>
      <c r="B10" s="31"/>
      <c r="C10" s="31"/>
      <c r="D10" s="31"/>
      <c r="E10" s="31"/>
      <c r="F10" s="31"/>
      <c r="G10" s="162"/>
      <c r="H10" s="145"/>
      <c r="I10" s="161"/>
      <c r="J10" s="161"/>
      <c r="K10" s="161"/>
      <c r="L10" s="161"/>
      <c r="M10" s="169" t="str">
        <f t="shared" si="0"/>
        <v/>
      </c>
      <c r="N10" s="161"/>
      <c r="O10" s="161"/>
      <c r="P10" s="161"/>
      <c r="Q10" s="143"/>
      <c r="R10" s="143"/>
      <c r="S10" s="143"/>
      <c r="T10" s="143"/>
      <c r="U10" s="169" t="str">
        <f t="shared" si="1"/>
        <v/>
      </c>
      <c r="V10" s="143"/>
      <c r="W10" s="143"/>
      <c r="X10" s="143"/>
      <c r="Y10" s="152"/>
      <c r="Z10" s="153"/>
      <c r="AA10" s="154"/>
      <c r="AB10" s="156"/>
      <c r="AC10" s="156"/>
      <c r="AD10" s="157"/>
      <c r="AE10" s="158"/>
      <c r="AF10" s="148"/>
      <c r="AG10" s="149"/>
      <c r="AH10" s="150"/>
      <c r="AI10" s="143"/>
      <c r="AJ10" s="143"/>
      <c r="AK10" s="81"/>
      <c r="AL10" s="81"/>
      <c r="AM10" s="138"/>
      <c r="AN10" s="154"/>
      <c r="AO10" s="139"/>
      <c r="AP10" s="140"/>
      <c r="AQ10" s="154"/>
      <c r="AR10" s="139"/>
      <c r="AS10" s="140"/>
      <c r="AT10" s="154"/>
      <c r="AU10" s="139"/>
      <c r="AV10" s="140"/>
      <c r="AW10" s="154"/>
      <c r="AX10" s="139"/>
      <c r="AY10" s="140"/>
      <c r="AZ10" s="161"/>
      <c r="BA10" s="161"/>
      <c r="BB10" s="162"/>
      <c r="BC10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0" s="145"/>
      <c r="BE10" s="145"/>
      <c r="BF10" s="145"/>
      <c r="BG10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0" s="31"/>
      <c r="BI10" s="31"/>
      <c r="BJ10" s="31"/>
      <c r="BK10" s="138"/>
      <c r="BL10" s="154"/>
      <c r="BM10" s="139"/>
      <c r="BN10" s="140"/>
      <c r="BO10" s="154"/>
      <c r="BP10" s="139"/>
      <c r="BQ10" s="140"/>
      <c r="BR10" s="154"/>
      <c r="BS10" s="139"/>
      <c r="BT10" s="140"/>
      <c r="BU10" s="154"/>
      <c r="BV10" s="139"/>
      <c r="BW10" s="140"/>
      <c r="BX10" s="162"/>
      <c r="BY10" s="162"/>
      <c r="BZ10" s="162"/>
      <c r="CA10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0" s="145"/>
      <c r="CC10" s="145"/>
      <c r="CD10" s="145"/>
      <c r="CE10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0" s="31"/>
      <c r="CG10" s="31"/>
      <c r="CH10" s="31"/>
      <c r="CI10" s="142"/>
      <c r="CJ10" s="154"/>
      <c r="CK10" s="139"/>
      <c r="CL10" s="140"/>
      <c r="CM10" s="154"/>
      <c r="CN10" s="139"/>
      <c r="CO10" s="140"/>
      <c r="CP10" s="154"/>
      <c r="CQ10" s="139"/>
      <c r="CR10" s="140"/>
      <c r="CS10" s="154"/>
      <c r="CT10" s="139"/>
      <c r="CU10" s="140"/>
      <c r="CV10" s="162"/>
      <c r="CW10" s="162"/>
      <c r="CX10" s="162"/>
      <c r="CY10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0" s="145"/>
      <c r="DA10" s="145"/>
      <c r="DB10" s="145"/>
      <c r="DC10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0" s="31"/>
      <c r="DE10" s="31"/>
      <c r="DF10" s="31"/>
      <c r="DG10" s="138"/>
      <c r="DH10" s="154"/>
      <c r="DI10" s="139"/>
      <c r="DJ10" s="140"/>
      <c r="DK10" s="154"/>
      <c r="DL10" s="139"/>
      <c r="DM10" s="140"/>
      <c r="DN10" s="154"/>
      <c r="DO10" s="139"/>
      <c r="DP10" s="140"/>
      <c r="DQ10" s="154"/>
      <c r="DR10" s="139"/>
      <c r="DS10" s="140"/>
      <c r="DT10" s="162"/>
      <c r="DU10" s="162"/>
      <c r="DV10" s="162"/>
      <c r="DW10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0" s="145"/>
      <c r="DY10" s="145"/>
      <c r="DZ10" s="145"/>
      <c r="EA10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0" s="31"/>
      <c r="EC10" s="31"/>
      <c r="ED10" s="31"/>
      <c r="EE10" s="31"/>
      <c r="EF10" s="94"/>
    </row>
    <row r="11" spans="1:138" x14ac:dyDescent="0.45">
      <c r="A11" s="31"/>
      <c r="B11" s="31"/>
      <c r="C11" s="31"/>
      <c r="D11" s="31"/>
      <c r="E11" s="31"/>
      <c r="F11" s="31"/>
      <c r="G11" s="162"/>
      <c r="H11" s="145"/>
      <c r="I11" s="161"/>
      <c r="J11" s="161"/>
      <c r="K11" s="161"/>
      <c r="L11" s="161"/>
      <c r="M11" s="169" t="str">
        <f t="shared" si="0"/>
        <v/>
      </c>
      <c r="N11" s="161"/>
      <c r="O11" s="161"/>
      <c r="P11" s="161"/>
      <c r="Q11" s="143"/>
      <c r="R11" s="143"/>
      <c r="S11" s="143"/>
      <c r="T11" s="143"/>
      <c r="U11" s="169" t="str">
        <f t="shared" si="1"/>
        <v/>
      </c>
      <c r="V11" s="143"/>
      <c r="W11" s="143"/>
      <c r="X11" s="143"/>
      <c r="Y11" s="152"/>
      <c r="Z11" s="153"/>
      <c r="AA11" s="154"/>
      <c r="AB11" s="156"/>
      <c r="AC11" s="156"/>
      <c r="AD11" s="157"/>
      <c r="AE11" s="158"/>
      <c r="AF11" s="148"/>
      <c r="AG11" s="149"/>
      <c r="AH11" s="150"/>
      <c r="AI11" s="143"/>
      <c r="AJ11" s="143"/>
      <c r="AK11" s="81"/>
      <c r="AL11" s="81"/>
      <c r="AM11" s="138"/>
      <c r="AN11" s="154"/>
      <c r="AO11" s="139"/>
      <c r="AP11" s="140"/>
      <c r="AQ11" s="154"/>
      <c r="AR11" s="139"/>
      <c r="AS11" s="140"/>
      <c r="AT11" s="154"/>
      <c r="AU11" s="139"/>
      <c r="AV11" s="140"/>
      <c r="AW11" s="154"/>
      <c r="AX11" s="139"/>
      <c r="AY11" s="140"/>
      <c r="AZ11" s="161"/>
      <c r="BA11" s="161"/>
      <c r="BB11" s="162"/>
      <c r="BC11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1" s="145"/>
      <c r="BE11" s="145"/>
      <c r="BF11" s="145"/>
      <c r="BG11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1" s="31"/>
      <c r="BI11" s="31"/>
      <c r="BJ11" s="31"/>
      <c r="BK11" s="138"/>
      <c r="BL11" s="154"/>
      <c r="BM11" s="139"/>
      <c r="BN11" s="140"/>
      <c r="BO11" s="154"/>
      <c r="BP11" s="139"/>
      <c r="BQ11" s="140"/>
      <c r="BR11" s="154"/>
      <c r="BS11" s="139"/>
      <c r="BT11" s="140"/>
      <c r="BU11" s="154"/>
      <c r="BV11" s="139"/>
      <c r="BW11" s="140"/>
      <c r="BX11" s="162"/>
      <c r="BY11" s="162"/>
      <c r="BZ11" s="162"/>
      <c r="CA11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1" s="145"/>
      <c r="CC11" s="145"/>
      <c r="CD11" s="145"/>
      <c r="CE11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1" s="31"/>
      <c r="CG11" s="31"/>
      <c r="CH11" s="31"/>
      <c r="CI11" s="142"/>
      <c r="CJ11" s="154"/>
      <c r="CK11" s="139"/>
      <c r="CL11" s="140"/>
      <c r="CM11" s="154"/>
      <c r="CN11" s="139"/>
      <c r="CO11" s="140"/>
      <c r="CP11" s="154"/>
      <c r="CQ11" s="139"/>
      <c r="CR11" s="140"/>
      <c r="CS11" s="154"/>
      <c r="CT11" s="139"/>
      <c r="CU11" s="140"/>
      <c r="CV11" s="162"/>
      <c r="CW11" s="162"/>
      <c r="CX11" s="162"/>
      <c r="CY11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1" s="145"/>
      <c r="DA11" s="145"/>
      <c r="DB11" s="145"/>
      <c r="DC11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1" s="31"/>
      <c r="DE11" s="31"/>
      <c r="DF11" s="31"/>
      <c r="DG11" s="138"/>
      <c r="DH11" s="154"/>
      <c r="DI11" s="139"/>
      <c r="DJ11" s="140"/>
      <c r="DK11" s="154"/>
      <c r="DL11" s="139"/>
      <c r="DM11" s="140"/>
      <c r="DN11" s="154"/>
      <c r="DO11" s="139"/>
      <c r="DP11" s="140"/>
      <c r="DQ11" s="154"/>
      <c r="DR11" s="139"/>
      <c r="DS11" s="140"/>
      <c r="DT11" s="162"/>
      <c r="DU11" s="162"/>
      <c r="DV11" s="162"/>
      <c r="DW11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1" s="145"/>
      <c r="DY11" s="145"/>
      <c r="DZ11" s="145"/>
      <c r="EA11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1" s="31"/>
      <c r="EC11" s="31"/>
      <c r="ED11" s="31"/>
      <c r="EE11" s="31"/>
      <c r="EF11" s="94"/>
    </row>
    <row r="12" spans="1:138" x14ac:dyDescent="0.45">
      <c r="A12" s="31"/>
      <c r="B12" s="31"/>
      <c r="C12" s="31"/>
      <c r="D12" s="31"/>
      <c r="E12" s="31"/>
      <c r="F12" s="31"/>
      <c r="G12" s="162"/>
      <c r="H12" s="145"/>
      <c r="I12" s="161"/>
      <c r="J12" s="161"/>
      <c r="K12" s="161"/>
      <c r="L12" s="161"/>
      <c r="M12" s="169" t="str">
        <f t="shared" si="0"/>
        <v/>
      </c>
      <c r="N12" s="161"/>
      <c r="O12" s="161"/>
      <c r="P12" s="161"/>
      <c r="Q12" s="143"/>
      <c r="R12" s="143"/>
      <c r="S12" s="143"/>
      <c r="T12" s="143"/>
      <c r="U12" s="169" t="str">
        <f t="shared" si="1"/>
        <v/>
      </c>
      <c r="V12" s="143"/>
      <c r="W12" s="143"/>
      <c r="X12" s="143"/>
      <c r="Y12" s="152"/>
      <c r="Z12" s="153"/>
      <c r="AA12" s="154"/>
      <c r="AB12" s="156"/>
      <c r="AC12" s="156"/>
      <c r="AD12" s="157"/>
      <c r="AE12" s="158"/>
      <c r="AF12" s="148"/>
      <c r="AG12" s="149"/>
      <c r="AH12" s="150"/>
      <c r="AI12" s="143"/>
      <c r="AJ12" s="143"/>
      <c r="AK12" s="81"/>
      <c r="AL12" s="81"/>
      <c r="AM12" s="138"/>
      <c r="AN12" s="154"/>
      <c r="AO12" s="139"/>
      <c r="AP12" s="140"/>
      <c r="AQ12" s="154"/>
      <c r="AR12" s="139"/>
      <c r="AS12" s="140"/>
      <c r="AT12" s="154"/>
      <c r="AU12" s="139"/>
      <c r="AV12" s="140"/>
      <c r="AW12" s="154"/>
      <c r="AX12" s="139"/>
      <c r="AY12" s="140"/>
      <c r="AZ12" s="161"/>
      <c r="BA12" s="161"/>
      <c r="BB12" s="162"/>
      <c r="BC12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2" s="145"/>
      <c r="BE12" s="145"/>
      <c r="BF12" s="145"/>
      <c r="BG12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2" s="31"/>
      <c r="BI12" s="31"/>
      <c r="BJ12" s="31"/>
      <c r="BK12" s="138"/>
      <c r="BL12" s="154"/>
      <c r="BM12" s="139"/>
      <c r="BN12" s="140"/>
      <c r="BO12" s="154"/>
      <c r="BP12" s="139"/>
      <c r="BQ12" s="140"/>
      <c r="BR12" s="154"/>
      <c r="BS12" s="139"/>
      <c r="BT12" s="140"/>
      <c r="BU12" s="154"/>
      <c r="BV12" s="139"/>
      <c r="BW12" s="140"/>
      <c r="BX12" s="162"/>
      <c r="BY12" s="162"/>
      <c r="BZ12" s="162"/>
      <c r="CA12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2" s="145"/>
      <c r="CC12" s="145"/>
      <c r="CD12" s="145"/>
      <c r="CE12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2" s="31"/>
      <c r="CG12" s="31"/>
      <c r="CH12" s="31"/>
      <c r="CI12" s="142"/>
      <c r="CJ12" s="154"/>
      <c r="CK12" s="139"/>
      <c r="CL12" s="140"/>
      <c r="CM12" s="154"/>
      <c r="CN12" s="139"/>
      <c r="CO12" s="140"/>
      <c r="CP12" s="154"/>
      <c r="CQ12" s="139"/>
      <c r="CR12" s="140"/>
      <c r="CS12" s="154"/>
      <c r="CT12" s="139"/>
      <c r="CU12" s="140"/>
      <c r="CV12" s="162"/>
      <c r="CW12" s="162"/>
      <c r="CX12" s="162"/>
      <c r="CY12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2" s="145"/>
      <c r="DA12" s="145"/>
      <c r="DB12" s="145"/>
      <c r="DC12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2" s="31"/>
      <c r="DE12" s="31"/>
      <c r="DF12" s="31"/>
      <c r="DG12" s="138"/>
      <c r="DH12" s="154"/>
      <c r="DI12" s="139"/>
      <c r="DJ12" s="140"/>
      <c r="DK12" s="154"/>
      <c r="DL12" s="139"/>
      <c r="DM12" s="140"/>
      <c r="DN12" s="154"/>
      <c r="DO12" s="139"/>
      <c r="DP12" s="140"/>
      <c r="DQ12" s="154"/>
      <c r="DR12" s="139"/>
      <c r="DS12" s="140"/>
      <c r="DT12" s="162"/>
      <c r="DU12" s="162"/>
      <c r="DV12" s="162"/>
      <c r="DW12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2" s="145"/>
      <c r="DY12" s="145"/>
      <c r="DZ12" s="145"/>
      <c r="EA12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2" s="31"/>
      <c r="EC12" s="31"/>
      <c r="ED12" s="31"/>
      <c r="EE12" s="31"/>
      <c r="EF12" s="94"/>
    </row>
    <row r="13" spans="1:138" x14ac:dyDescent="0.45">
      <c r="A13" s="31"/>
      <c r="B13" s="31"/>
      <c r="C13" s="31"/>
      <c r="D13" s="31"/>
      <c r="E13" s="31"/>
      <c r="F13" s="31"/>
      <c r="G13" s="162"/>
      <c r="H13" s="145"/>
      <c r="I13" s="161"/>
      <c r="J13" s="161"/>
      <c r="K13" s="161"/>
      <c r="L13" s="161"/>
      <c r="M13" s="169" t="str">
        <f t="shared" si="0"/>
        <v/>
      </c>
      <c r="N13" s="161"/>
      <c r="O13" s="161"/>
      <c r="P13" s="161"/>
      <c r="Q13" s="143"/>
      <c r="R13" s="143"/>
      <c r="S13" s="143"/>
      <c r="T13" s="143"/>
      <c r="U13" s="169" t="str">
        <f t="shared" si="1"/>
        <v/>
      </c>
      <c r="V13" s="143"/>
      <c r="W13" s="143"/>
      <c r="X13" s="143"/>
      <c r="Y13" s="152"/>
      <c r="Z13" s="153"/>
      <c r="AA13" s="154"/>
      <c r="AB13" s="156"/>
      <c r="AC13" s="156"/>
      <c r="AD13" s="157"/>
      <c r="AE13" s="158"/>
      <c r="AF13" s="148"/>
      <c r="AG13" s="149"/>
      <c r="AH13" s="150"/>
      <c r="AI13" s="143"/>
      <c r="AJ13" s="143"/>
      <c r="AK13" s="81"/>
      <c r="AL13" s="81"/>
      <c r="AM13" s="138"/>
      <c r="AN13" s="154"/>
      <c r="AO13" s="139"/>
      <c r="AP13" s="140"/>
      <c r="AQ13" s="154"/>
      <c r="AR13" s="139"/>
      <c r="AS13" s="140"/>
      <c r="AT13" s="154"/>
      <c r="AU13" s="139"/>
      <c r="AV13" s="140"/>
      <c r="AW13" s="154"/>
      <c r="AX13" s="139"/>
      <c r="AY13" s="140"/>
      <c r="AZ13" s="161"/>
      <c r="BA13" s="161"/>
      <c r="BB13" s="162"/>
      <c r="BC13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3" s="145"/>
      <c r="BE13" s="145"/>
      <c r="BF13" s="145"/>
      <c r="BG13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3" s="31"/>
      <c r="BI13" s="31"/>
      <c r="BJ13" s="31"/>
      <c r="BK13" s="138"/>
      <c r="BL13" s="154"/>
      <c r="BM13" s="139"/>
      <c r="BN13" s="140"/>
      <c r="BO13" s="154"/>
      <c r="BP13" s="139"/>
      <c r="BQ13" s="140"/>
      <c r="BR13" s="154"/>
      <c r="BS13" s="139"/>
      <c r="BT13" s="140"/>
      <c r="BU13" s="154"/>
      <c r="BV13" s="139"/>
      <c r="BW13" s="140"/>
      <c r="BX13" s="162"/>
      <c r="BY13" s="162"/>
      <c r="BZ13" s="162"/>
      <c r="CA13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3" s="145"/>
      <c r="CC13" s="145"/>
      <c r="CD13" s="145"/>
      <c r="CE13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3" s="31"/>
      <c r="CG13" s="31"/>
      <c r="CH13" s="31"/>
      <c r="CI13" s="142"/>
      <c r="CJ13" s="154"/>
      <c r="CK13" s="139"/>
      <c r="CL13" s="140"/>
      <c r="CM13" s="154"/>
      <c r="CN13" s="139"/>
      <c r="CO13" s="140"/>
      <c r="CP13" s="154"/>
      <c r="CQ13" s="139"/>
      <c r="CR13" s="140"/>
      <c r="CS13" s="154"/>
      <c r="CT13" s="139"/>
      <c r="CU13" s="140"/>
      <c r="CV13" s="162"/>
      <c r="CW13" s="162"/>
      <c r="CX13" s="162"/>
      <c r="CY13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3" s="145"/>
      <c r="DA13" s="145"/>
      <c r="DB13" s="145"/>
      <c r="DC13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3" s="31"/>
      <c r="DE13" s="31"/>
      <c r="DF13" s="31"/>
      <c r="DG13" s="138"/>
      <c r="DH13" s="154"/>
      <c r="DI13" s="139"/>
      <c r="DJ13" s="140"/>
      <c r="DK13" s="154"/>
      <c r="DL13" s="139"/>
      <c r="DM13" s="140"/>
      <c r="DN13" s="154"/>
      <c r="DO13" s="139"/>
      <c r="DP13" s="140"/>
      <c r="DQ13" s="154"/>
      <c r="DR13" s="139"/>
      <c r="DS13" s="140"/>
      <c r="DT13" s="162"/>
      <c r="DU13" s="162"/>
      <c r="DV13" s="162"/>
      <c r="DW13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3" s="145"/>
      <c r="DY13" s="145"/>
      <c r="DZ13" s="145"/>
      <c r="EA13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3" s="31"/>
      <c r="EC13" s="31"/>
      <c r="ED13" s="31"/>
      <c r="EE13" s="31"/>
      <c r="EF13" s="94"/>
    </row>
    <row r="14" spans="1:138" x14ac:dyDescent="0.45">
      <c r="A14" s="31"/>
      <c r="B14" s="31"/>
      <c r="C14" s="31"/>
      <c r="D14" s="31"/>
      <c r="E14" s="31"/>
      <c r="F14" s="31"/>
      <c r="G14" s="162"/>
      <c r="H14" s="145"/>
      <c r="I14" s="161"/>
      <c r="J14" s="161"/>
      <c r="K14" s="161"/>
      <c r="L14" s="161"/>
      <c r="M14" s="169" t="str">
        <f t="shared" si="0"/>
        <v/>
      </c>
      <c r="N14" s="161"/>
      <c r="O14" s="161"/>
      <c r="P14" s="161"/>
      <c r="Q14" s="143"/>
      <c r="R14" s="143"/>
      <c r="S14" s="143"/>
      <c r="T14" s="143"/>
      <c r="U14" s="169" t="str">
        <f t="shared" si="1"/>
        <v/>
      </c>
      <c r="V14" s="143"/>
      <c r="W14" s="143"/>
      <c r="X14" s="143"/>
      <c r="Y14" s="152"/>
      <c r="Z14" s="153"/>
      <c r="AA14" s="154"/>
      <c r="AB14" s="156"/>
      <c r="AC14" s="156"/>
      <c r="AD14" s="157"/>
      <c r="AE14" s="158"/>
      <c r="AF14" s="148"/>
      <c r="AG14" s="149"/>
      <c r="AH14" s="150"/>
      <c r="AI14" s="143"/>
      <c r="AJ14" s="143"/>
      <c r="AK14" s="81"/>
      <c r="AL14" s="81"/>
      <c r="AM14" s="138"/>
      <c r="AN14" s="154"/>
      <c r="AO14" s="139"/>
      <c r="AP14" s="140"/>
      <c r="AQ14" s="154"/>
      <c r="AR14" s="139"/>
      <c r="AS14" s="140"/>
      <c r="AT14" s="154"/>
      <c r="AU14" s="139"/>
      <c r="AV14" s="140"/>
      <c r="AW14" s="154"/>
      <c r="AX14" s="139"/>
      <c r="AY14" s="140"/>
      <c r="AZ14" s="161"/>
      <c r="BA14" s="161"/>
      <c r="BB14" s="162"/>
      <c r="BC14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4" s="145"/>
      <c r="BE14" s="145"/>
      <c r="BF14" s="145"/>
      <c r="BG14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4" s="31"/>
      <c r="BI14" s="31"/>
      <c r="BJ14" s="31"/>
      <c r="BK14" s="138"/>
      <c r="BL14" s="154"/>
      <c r="BM14" s="139"/>
      <c r="BN14" s="140"/>
      <c r="BO14" s="154"/>
      <c r="BP14" s="139"/>
      <c r="BQ14" s="140"/>
      <c r="BR14" s="154"/>
      <c r="BS14" s="139"/>
      <c r="BT14" s="140"/>
      <c r="BU14" s="154"/>
      <c r="BV14" s="139"/>
      <c r="BW14" s="140"/>
      <c r="BX14" s="162"/>
      <c r="BY14" s="162"/>
      <c r="BZ14" s="162"/>
      <c r="CA14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4" s="145"/>
      <c r="CC14" s="145"/>
      <c r="CD14" s="145"/>
      <c r="CE14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4" s="31"/>
      <c r="CG14" s="31"/>
      <c r="CH14" s="31"/>
      <c r="CI14" s="142"/>
      <c r="CJ14" s="154"/>
      <c r="CK14" s="139"/>
      <c r="CL14" s="140"/>
      <c r="CM14" s="154"/>
      <c r="CN14" s="139"/>
      <c r="CO14" s="140"/>
      <c r="CP14" s="154"/>
      <c r="CQ14" s="139"/>
      <c r="CR14" s="140"/>
      <c r="CS14" s="154"/>
      <c r="CT14" s="139"/>
      <c r="CU14" s="140"/>
      <c r="CV14" s="162"/>
      <c r="CW14" s="162"/>
      <c r="CX14" s="162"/>
      <c r="CY14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4" s="145"/>
      <c r="DA14" s="145"/>
      <c r="DB14" s="145"/>
      <c r="DC14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4" s="31"/>
      <c r="DE14" s="31"/>
      <c r="DF14" s="31"/>
      <c r="DG14" s="138"/>
      <c r="DH14" s="154"/>
      <c r="DI14" s="139"/>
      <c r="DJ14" s="140"/>
      <c r="DK14" s="154"/>
      <c r="DL14" s="139"/>
      <c r="DM14" s="140"/>
      <c r="DN14" s="154"/>
      <c r="DO14" s="139"/>
      <c r="DP14" s="140"/>
      <c r="DQ14" s="154"/>
      <c r="DR14" s="139"/>
      <c r="DS14" s="140"/>
      <c r="DT14" s="162"/>
      <c r="DU14" s="162"/>
      <c r="DV14" s="162"/>
      <c r="DW14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4" s="145"/>
      <c r="DY14" s="145"/>
      <c r="DZ14" s="145"/>
      <c r="EA14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4" s="31"/>
      <c r="EC14" s="31"/>
      <c r="ED14" s="31"/>
      <c r="EE14" s="31"/>
      <c r="EF14" s="94"/>
    </row>
    <row r="15" spans="1:138" x14ac:dyDescent="0.45">
      <c r="A15" s="31"/>
      <c r="B15" s="31"/>
      <c r="C15" s="31"/>
      <c r="D15" s="31"/>
      <c r="E15" s="31"/>
      <c r="F15" s="31"/>
      <c r="G15" s="162"/>
      <c r="H15" s="145"/>
      <c r="I15" s="161"/>
      <c r="J15" s="161"/>
      <c r="K15" s="161"/>
      <c r="L15" s="161"/>
      <c r="M15" s="169" t="str">
        <f t="shared" si="0"/>
        <v/>
      </c>
      <c r="N15" s="161"/>
      <c r="O15" s="161"/>
      <c r="P15" s="161"/>
      <c r="Q15" s="143"/>
      <c r="R15" s="143"/>
      <c r="S15" s="143"/>
      <c r="T15" s="143"/>
      <c r="U15" s="169" t="str">
        <f t="shared" si="1"/>
        <v/>
      </c>
      <c r="V15" s="143"/>
      <c r="W15" s="143"/>
      <c r="X15" s="143"/>
      <c r="Y15" s="152"/>
      <c r="Z15" s="153"/>
      <c r="AA15" s="154"/>
      <c r="AB15" s="156"/>
      <c r="AC15" s="156"/>
      <c r="AD15" s="157"/>
      <c r="AE15" s="158"/>
      <c r="AF15" s="148"/>
      <c r="AG15" s="149"/>
      <c r="AH15" s="150"/>
      <c r="AI15" s="143"/>
      <c r="AJ15" s="143"/>
      <c r="AK15" s="81"/>
      <c r="AL15" s="81"/>
      <c r="AM15" s="138"/>
      <c r="AN15" s="154"/>
      <c r="AO15" s="139"/>
      <c r="AP15" s="140"/>
      <c r="AQ15" s="154"/>
      <c r="AR15" s="139"/>
      <c r="AS15" s="140"/>
      <c r="AT15" s="154"/>
      <c r="AU15" s="139"/>
      <c r="AV15" s="140"/>
      <c r="AW15" s="154"/>
      <c r="AX15" s="139"/>
      <c r="AY15" s="140"/>
      <c r="AZ15" s="161"/>
      <c r="BA15" s="161"/>
      <c r="BB15" s="162"/>
      <c r="BC15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5" s="145"/>
      <c r="BE15" s="145"/>
      <c r="BF15" s="145"/>
      <c r="BG15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5" s="31"/>
      <c r="BI15" s="31"/>
      <c r="BJ15" s="31"/>
      <c r="BK15" s="138"/>
      <c r="BL15" s="154"/>
      <c r="BM15" s="139"/>
      <c r="BN15" s="140"/>
      <c r="BO15" s="154"/>
      <c r="BP15" s="139"/>
      <c r="BQ15" s="140"/>
      <c r="BR15" s="154"/>
      <c r="BS15" s="139"/>
      <c r="BT15" s="140"/>
      <c r="BU15" s="154"/>
      <c r="BV15" s="139"/>
      <c r="BW15" s="140"/>
      <c r="BX15" s="162"/>
      <c r="BY15" s="162"/>
      <c r="BZ15" s="162"/>
      <c r="CA15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5" s="145"/>
      <c r="CC15" s="145"/>
      <c r="CD15" s="145"/>
      <c r="CE15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5" s="31"/>
      <c r="CG15" s="31"/>
      <c r="CH15" s="31"/>
      <c r="CI15" s="142"/>
      <c r="CJ15" s="154"/>
      <c r="CK15" s="139"/>
      <c r="CL15" s="140"/>
      <c r="CM15" s="154"/>
      <c r="CN15" s="139"/>
      <c r="CO15" s="140"/>
      <c r="CP15" s="154"/>
      <c r="CQ15" s="139"/>
      <c r="CR15" s="140"/>
      <c r="CS15" s="154"/>
      <c r="CT15" s="139"/>
      <c r="CU15" s="140"/>
      <c r="CV15" s="162"/>
      <c r="CW15" s="162"/>
      <c r="CX15" s="162"/>
      <c r="CY15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5" s="145"/>
      <c r="DA15" s="145"/>
      <c r="DB15" s="145"/>
      <c r="DC15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5" s="31"/>
      <c r="DE15" s="31"/>
      <c r="DF15" s="31"/>
      <c r="DG15" s="138"/>
      <c r="DH15" s="154"/>
      <c r="DI15" s="139"/>
      <c r="DJ15" s="140"/>
      <c r="DK15" s="154"/>
      <c r="DL15" s="139"/>
      <c r="DM15" s="140"/>
      <c r="DN15" s="154"/>
      <c r="DO15" s="139"/>
      <c r="DP15" s="140"/>
      <c r="DQ15" s="154"/>
      <c r="DR15" s="139"/>
      <c r="DS15" s="140"/>
      <c r="DT15" s="162"/>
      <c r="DU15" s="162"/>
      <c r="DV15" s="162"/>
      <c r="DW15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5" s="145"/>
      <c r="DY15" s="145"/>
      <c r="DZ15" s="145"/>
      <c r="EA15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5" s="31"/>
      <c r="EC15" s="31"/>
      <c r="ED15" s="31"/>
      <c r="EE15" s="31"/>
      <c r="EF15" s="94"/>
    </row>
    <row r="16" spans="1:138" x14ac:dyDescent="0.45">
      <c r="A16" s="31"/>
      <c r="B16" s="31"/>
      <c r="C16" s="31"/>
      <c r="D16" s="31"/>
      <c r="E16" s="31"/>
      <c r="F16" s="31"/>
      <c r="G16" s="162"/>
      <c r="H16" s="145"/>
      <c r="I16" s="161"/>
      <c r="J16" s="161"/>
      <c r="K16" s="161"/>
      <c r="L16" s="161"/>
      <c r="M16" s="169" t="str">
        <f t="shared" si="0"/>
        <v/>
      </c>
      <c r="N16" s="161"/>
      <c r="O16" s="161"/>
      <c r="P16" s="161"/>
      <c r="Q16" s="143"/>
      <c r="R16" s="143"/>
      <c r="S16" s="143"/>
      <c r="T16" s="143"/>
      <c r="U16" s="169" t="str">
        <f t="shared" si="1"/>
        <v/>
      </c>
      <c r="V16" s="143"/>
      <c r="W16" s="143"/>
      <c r="X16" s="143"/>
      <c r="Y16" s="152"/>
      <c r="Z16" s="153"/>
      <c r="AA16" s="154"/>
      <c r="AB16" s="156"/>
      <c r="AC16" s="156"/>
      <c r="AD16" s="157"/>
      <c r="AE16" s="158"/>
      <c r="AF16" s="148"/>
      <c r="AG16" s="149"/>
      <c r="AH16" s="150"/>
      <c r="AI16" s="143"/>
      <c r="AJ16" s="143"/>
      <c r="AK16" s="81"/>
      <c r="AL16" s="81"/>
      <c r="AM16" s="138"/>
      <c r="AN16" s="154"/>
      <c r="AO16" s="139"/>
      <c r="AP16" s="140"/>
      <c r="AQ16" s="154"/>
      <c r="AR16" s="139"/>
      <c r="AS16" s="140"/>
      <c r="AT16" s="154"/>
      <c r="AU16" s="139"/>
      <c r="AV16" s="140"/>
      <c r="AW16" s="154"/>
      <c r="AX16" s="139"/>
      <c r="AY16" s="140"/>
      <c r="AZ16" s="161"/>
      <c r="BA16" s="161"/>
      <c r="BB16" s="162"/>
      <c r="BC16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6" s="145"/>
      <c r="BE16" s="145"/>
      <c r="BF16" s="145"/>
      <c r="BG16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6" s="31"/>
      <c r="BI16" s="31"/>
      <c r="BJ16" s="31"/>
      <c r="BK16" s="138"/>
      <c r="BL16" s="154"/>
      <c r="BM16" s="139"/>
      <c r="BN16" s="140"/>
      <c r="BO16" s="154"/>
      <c r="BP16" s="139"/>
      <c r="BQ16" s="140"/>
      <c r="BR16" s="154"/>
      <c r="BS16" s="139"/>
      <c r="BT16" s="140"/>
      <c r="BU16" s="154"/>
      <c r="BV16" s="139"/>
      <c r="BW16" s="140"/>
      <c r="BX16" s="162"/>
      <c r="BY16" s="162"/>
      <c r="BZ16" s="162"/>
      <c r="CA16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6" s="145"/>
      <c r="CC16" s="145"/>
      <c r="CD16" s="145"/>
      <c r="CE16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6" s="31"/>
      <c r="CG16" s="31"/>
      <c r="CH16" s="31"/>
      <c r="CI16" s="142"/>
      <c r="CJ16" s="154"/>
      <c r="CK16" s="139"/>
      <c r="CL16" s="140"/>
      <c r="CM16" s="154"/>
      <c r="CN16" s="139"/>
      <c r="CO16" s="140"/>
      <c r="CP16" s="154"/>
      <c r="CQ16" s="139"/>
      <c r="CR16" s="140"/>
      <c r="CS16" s="154"/>
      <c r="CT16" s="139"/>
      <c r="CU16" s="140"/>
      <c r="CV16" s="162"/>
      <c r="CW16" s="162"/>
      <c r="CX16" s="162"/>
      <c r="CY16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6" s="145"/>
      <c r="DA16" s="145"/>
      <c r="DB16" s="145"/>
      <c r="DC16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6" s="31"/>
      <c r="DE16" s="31"/>
      <c r="DF16" s="31"/>
      <c r="DG16" s="138"/>
      <c r="DH16" s="154"/>
      <c r="DI16" s="139"/>
      <c r="DJ16" s="140"/>
      <c r="DK16" s="154"/>
      <c r="DL16" s="139"/>
      <c r="DM16" s="140"/>
      <c r="DN16" s="154"/>
      <c r="DO16" s="139"/>
      <c r="DP16" s="140"/>
      <c r="DQ16" s="154"/>
      <c r="DR16" s="139"/>
      <c r="DS16" s="140"/>
      <c r="DT16" s="162"/>
      <c r="DU16" s="162"/>
      <c r="DV16" s="162"/>
      <c r="DW16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6" s="145"/>
      <c r="DY16" s="145"/>
      <c r="DZ16" s="145"/>
      <c r="EA16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6" s="31"/>
      <c r="EC16" s="31"/>
      <c r="ED16" s="31"/>
      <c r="EE16" s="31"/>
      <c r="EF16" s="94"/>
    </row>
    <row r="17" spans="1:138" x14ac:dyDescent="0.45">
      <c r="A17" s="31"/>
      <c r="B17" s="31"/>
      <c r="C17" s="31"/>
      <c r="D17" s="31"/>
      <c r="E17" s="31"/>
      <c r="F17" s="31"/>
      <c r="G17" s="162"/>
      <c r="H17" s="145"/>
      <c r="I17" s="161"/>
      <c r="J17" s="161"/>
      <c r="K17" s="161"/>
      <c r="L17" s="161"/>
      <c r="M17" s="169" t="str">
        <f t="shared" si="0"/>
        <v/>
      </c>
      <c r="N17" s="161"/>
      <c r="O17" s="161"/>
      <c r="P17" s="161"/>
      <c r="Q17" s="143"/>
      <c r="R17" s="143"/>
      <c r="S17" s="143"/>
      <c r="T17" s="143"/>
      <c r="U17" s="169" t="str">
        <f t="shared" si="1"/>
        <v/>
      </c>
      <c r="V17" s="143"/>
      <c r="W17" s="143"/>
      <c r="X17" s="143"/>
      <c r="Y17" s="152"/>
      <c r="Z17" s="153"/>
      <c r="AA17" s="154"/>
      <c r="AB17" s="156"/>
      <c r="AC17" s="156"/>
      <c r="AD17" s="157"/>
      <c r="AE17" s="158"/>
      <c r="AF17" s="148"/>
      <c r="AG17" s="149"/>
      <c r="AH17" s="150"/>
      <c r="AI17" s="143"/>
      <c r="AJ17" s="143"/>
      <c r="AK17" s="81"/>
      <c r="AL17" s="81"/>
      <c r="AM17" s="138"/>
      <c r="AN17" s="154"/>
      <c r="AO17" s="139"/>
      <c r="AP17" s="140"/>
      <c r="AQ17" s="154"/>
      <c r="AR17" s="139"/>
      <c r="AS17" s="140"/>
      <c r="AT17" s="154"/>
      <c r="AU17" s="139"/>
      <c r="AV17" s="140"/>
      <c r="AW17" s="154"/>
      <c r="AX17" s="139"/>
      <c r="AY17" s="140"/>
      <c r="AZ17" s="161"/>
      <c r="BA17" s="161"/>
      <c r="BB17" s="162"/>
      <c r="BC17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7" s="145"/>
      <c r="BE17" s="145"/>
      <c r="BF17" s="145"/>
      <c r="BG17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7" s="31"/>
      <c r="BI17" s="31"/>
      <c r="BJ17" s="31"/>
      <c r="BK17" s="138"/>
      <c r="BL17" s="154"/>
      <c r="BM17" s="139"/>
      <c r="BN17" s="140"/>
      <c r="BO17" s="154"/>
      <c r="BP17" s="139"/>
      <c r="BQ17" s="140"/>
      <c r="BR17" s="154"/>
      <c r="BS17" s="139"/>
      <c r="BT17" s="140"/>
      <c r="BU17" s="154"/>
      <c r="BV17" s="139"/>
      <c r="BW17" s="140"/>
      <c r="BX17" s="162"/>
      <c r="BY17" s="162"/>
      <c r="BZ17" s="162"/>
      <c r="CA17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7" s="145"/>
      <c r="CC17" s="145"/>
      <c r="CD17" s="145"/>
      <c r="CE17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7" s="31"/>
      <c r="CG17" s="31"/>
      <c r="CH17" s="31"/>
      <c r="CI17" s="142"/>
      <c r="CJ17" s="154"/>
      <c r="CK17" s="139"/>
      <c r="CL17" s="140"/>
      <c r="CM17" s="154"/>
      <c r="CN17" s="139"/>
      <c r="CO17" s="140"/>
      <c r="CP17" s="154"/>
      <c r="CQ17" s="139"/>
      <c r="CR17" s="140"/>
      <c r="CS17" s="154"/>
      <c r="CT17" s="139"/>
      <c r="CU17" s="140"/>
      <c r="CV17" s="162"/>
      <c r="CW17" s="162"/>
      <c r="CX17" s="162"/>
      <c r="CY17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7" s="145"/>
      <c r="DA17" s="145"/>
      <c r="DB17" s="145"/>
      <c r="DC17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7" s="31"/>
      <c r="DE17" s="31"/>
      <c r="DF17" s="31"/>
      <c r="DG17" s="138"/>
      <c r="DH17" s="154"/>
      <c r="DI17" s="139"/>
      <c r="DJ17" s="140"/>
      <c r="DK17" s="154"/>
      <c r="DL17" s="139"/>
      <c r="DM17" s="140"/>
      <c r="DN17" s="154"/>
      <c r="DO17" s="139"/>
      <c r="DP17" s="140"/>
      <c r="DQ17" s="154"/>
      <c r="DR17" s="139"/>
      <c r="DS17" s="140"/>
      <c r="DT17" s="162"/>
      <c r="DU17" s="162"/>
      <c r="DV17" s="162"/>
      <c r="DW17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7" s="145"/>
      <c r="DY17" s="145"/>
      <c r="DZ17" s="145"/>
      <c r="EA17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7" s="31"/>
      <c r="EC17" s="31"/>
      <c r="ED17" s="31"/>
      <c r="EE17" s="31"/>
      <c r="EF17" s="94"/>
    </row>
    <row r="18" spans="1:138" x14ac:dyDescent="0.45">
      <c r="A18" s="31"/>
      <c r="B18" s="31"/>
      <c r="C18" s="31"/>
      <c r="D18" s="31"/>
      <c r="E18" s="31"/>
      <c r="F18" s="31"/>
      <c r="G18" s="162"/>
      <c r="H18" s="145"/>
      <c r="I18" s="161"/>
      <c r="J18" s="161"/>
      <c r="K18" s="161"/>
      <c r="L18" s="161"/>
      <c r="M18" s="169" t="str">
        <f t="shared" si="0"/>
        <v/>
      </c>
      <c r="N18" s="161"/>
      <c r="O18" s="161"/>
      <c r="P18" s="161"/>
      <c r="Q18" s="143"/>
      <c r="R18" s="143"/>
      <c r="S18" s="143"/>
      <c r="T18" s="143"/>
      <c r="U18" s="169" t="str">
        <f t="shared" si="1"/>
        <v/>
      </c>
      <c r="V18" s="143"/>
      <c r="W18" s="143"/>
      <c r="X18" s="143"/>
      <c r="Y18" s="152"/>
      <c r="Z18" s="153"/>
      <c r="AA18" s="154"/>
      <c r="AB18" s="156"/>
      <c r="AC18" s="156"/>
      <c r="AD18" s="157"/>
      <c r="AE18" s="158"/>
      <c r="AF18" s="148"/>
      <c r="AG18" s="149"/>
      <c r="AH18" s="150"/>
      <c r="AI18" s="143"/>
      <c r="AJ18" s="143"/>
      <c r="AK18" s="81"/>
      <c r="AL18" s="81"/>
      <c r="AM18" s="138"/>
      <c r="AN18" s="154"/>
      <c r="AO18" s="139"/>
      <c r="AP18" s="140"/>
      <c r="AQ18" s="154"/>
      <c r="AR18" s="139"/>
      <c r="AS18" s="140"/>
      <c r="AT18" s="154"/>
      <c r="AU18" s="139"/>
      <c r="AV18" s="140"/>
      <c r="AW18" s="154"/>
      <c r="AX18" s="139"/>
      <c r="AY18" s="140"/>
      <c r="AZ18" s="161"/>
      <c r="BA18" s="161"/>
      <c r="BB18" s="162"/>
      <c r="BC18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8" s="145"/>
      <c r="BE18" s="145"/>
      <c r="BF18" s="145"/>
      <c r="BG18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8" s="31"/>
      <c r="BI18" s="31"/>
      <c r="BJ18" s="31"/>
      <c r="BK18" s="138"/>
      <c r="BL18" s="154"/>
      <c r="BM18" s="139"/>
      <c r="BN18" s="140"/>
      <c r="BO18" s="154"/>
      <c r="BP18" s="139"/>
      <c r="BQ18" s="140"/>
      <c r="BR18" s="154"/>
      <c r="BS18" s="139"/>
      <c r="BT18" s="140"/>
      <c r="BU18" s="154"/>
      <c r="BV18" s="139"/>
      <c r="BW18" s="140"/>
      <c r="BX18" s="162"/>
      <c r="BY18" s="162"/>
      <c r="BZ18" s="162"/>
      <c r="CA18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8" s="145"/>
      <c r="CC18" s="145"/>
      <c r="CD18" s="145"/>
      <c r="CE18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8" s="31"/>
      <c r="CG18" s="31"/>
      <c r="CH18" s="31"/>
      <c r="CI18" s="142"/>
      <c r="CJ18" s="154"/>
      <c r="CK18" s="139"/>
      <c r="CL18" s="140"/>
      <c r="CM18" s="154"/>
      <c r="CN18" s="139"/>
      <c r="CO18" s="140"/>
      <c r="CP18" s="154"/>
      <c r="CQ18" s="139"/>
      <c r="CR18" s="140"/>
      <c r="CS18" s="154"/>
      <c r="CT18" s="139"/>
      <c r="CU18" s="140"/>
      <c r="CV18" s="162"/>
      <c r="CW18" s="162"/>
      <c r="CX18" s="162"/>
      <c r="CY18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8" s="145"/>
      <c r="DA18" s="145"/>
      <c r="DB18" s="145"/>
      <c r="DC18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8" s="31"/>
      <c r="DE18" s="31"/>
      <c r="DF18" s="31"/>
      <c r="DG18" s="138"/>
      <c r="DH18" s="154"/>
      <c r="DI18" s="139"/>
      <c r="DJ18" s="140"/>
      <c r="DK18" s="154"/>
      <c r="DL18" s="139"/>
      <c r="DM18" s="140"/>
      <c r="DN18" s="154"/>
      <c r="DO18" s="139"/>
      <c r="DP18" s="140"/>
      <c r="DQ18" s="154"/>
      <c r="DR18" s="139"/>
      <c r="DS18" s="140"/>
      <c r="DT18" s="162"/>
      <c r="DU18" s="162"/>
      <c r="DV18" s="162"/>
      <c r="DW18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8" s="145"/>
      <c r="DY18" s="145"/>
      <c r="DZ18" s="145"/>
      <c r="EA18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8" s="31"/>
      <c r="EC18" s="31"/>
      <c r="ED18" s="31"/>
      <c r="EE18" s="31"/>
      <c r="EF18" s="94"/>
    </row>
    <row r="19" spans="1:138" x14ac:dyDescent="0.45">
      <c r="A19" s="31"/>
      <c r="B19" s="31"/>
      <c r="C19" s="31"/>
      <c r="D19" s="31"/>
      <c r="E19" s="31"/>
      <c r="F19" s="31"/>
      <c r="G19" s="162"/>
      <c r="H19" s="145"/>
      <c r="I19" s="161"/>
      <c r="J19" s="161"/>
      <c r="K19" s="161"/>
      <c r="L19" s="161"/>
      <c r="M19" s="169" t="str">
        <f t="shared" si="0"/>
        <v/>
      </c>
      <c r="N19" s="161"/>
      <c r="O19" s="161"/>
      <c r="P19" s="161"/>
      <c r="Q19" s="143"/>
      <c r="R19" s="143"/>
      <c r="S19" s="143"/>
      <c r="T19" s="143"/>
      <c r="U19" s="169" t="str">
        <f t="shared" si="1"/>
        <v/>
      </c>
      <c r="V19" s="143"/>
      <c r="W19" s="143"/>
      <c r="X19" s="143"/>
      <c r="Y19" s="152"/>
      <c r="Z19" s="153"/>
      <c r="AA19" s="154"/>
      <c r="AB19" s="156"/>
      <c r="AC19" s="156"/>
      <c r="AD19" s="157"/>
      <c r="AE19" s="158"/>
      <c r="AF19" s="148"/>
      <c r="AG19" s="149"/>
      <c r="AH19" s="150"/>
      <c r="AI19" s="143"/>
      <c r="AJ19" s="143"/>
      <c r="AK19" s="81"/>
      <c r="AL19" s="81"/>
      <c r="AM19" s="138"/>
      <c r="AN19" s="154"/>
      <c r="AO19" s="139"/>
      <c r="AP19" s="140"/>
      <c r="AQ19" s="154"/>
      <c r="AR19" s="139"/>
      <c r="AS19" s="140"/>
      <c r="AT19" s="154"/>
      <c r="AU19" s="139"/>
      <c r="AV19" s="140"/>
      <c r="AW19" s="154"/>
      <c r="AX19" s="139"/>
      <c r="AY19" s="140"/>
      <c r="AZ19" s="161"/>
      <c r="BA19" s="161"/>
      <c r="BB19" s="162"/>
      <c r="BC19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19" s="145"/>
      <c r="BE19" s="145"/>
      <c r="BF19" s="145"/>
      <c r="BG19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19" s="31"/>
      <c r="BI19" s="31"/>
      <c r="BJ19" s="31"/>
      <c r="BK19" s="138"/>
      <c r="BL19" s="154"/>
      <c r="BM19" s="139"/>
      <c r="BN19" s="140"/>
      <c r="BO19" s="154"/>
      <c r="BP19" s="139"/>
      <c r="BQ19" s="140"/>
      <c r="BR19" s="154"/>
      <c r="BS19" s="139"/>
      <c r="BT19" s="140"/>
      <c r="BU19" s="154"/>
      <c r="BV19" s="139"/>
      <c r="BW19" s="140"/>
      <c r="BX19" s="162"/>
      <c r="BY19" s="162"/>
      <c r="BZ19" s="162"/>
      <c r="CA19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19" s="145"/>
      <c r="CC19" s="145"/>
      <c r="CD19" s="145"/>
      <c r="CE19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19" s="31"/>
      <c r="CG19" s="31"/>
      <c r="CH19" s="31"/>
      <c r="CI19" s="142"/>
      <c r="CJ19" s="154"/>
      <c r="CK19" s="139"/>
      <c r="CL19" s="140"/>
      <c r="CM19" s="154"/>
      <c r="CN19" s="139"/>
      <c r="CO19" s="140"/>
      <c r="CP19" s="154"/>
      <c r="CQ19" s="139"/>
      <c r="CR19" s="140"/>
      <c r="CS19" s="154"/>
      <c r="CT19" s="139"/>
      <c r="CU19" s="140"/>
      <c r="CV19" s="162"/>
      <c r="CW19" s="162"/>
      <c r="CX19" s="162"/>
      <c r="CY19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19" s="145"/>
      <c r="DA19" s="145"/>
      <c r="DB19" s="145"/>
      <c r="DC19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19" s="31"/>
      <c r="DE19" s="31"/>
      <c r="DF19" s="31"/>
      <c r="DG19" s="138"/>
      <c r="DH19" s="154"/>
      <c r="DI19" s="139"/>
      <c r="DJ19" s="140"/>
      <c r="DK19" s="154"/>
      <c r="DL19" s="139"/>
      <c r="DM19" s="140"/>
      <c r="DN19" s="154"/>
      <c r="DO19" s="139"/>
      <c r="DP19" s="140"/>
      <c r="DQ19" s="154"/>
      <c r="DR19" s="139"/>
      <c r="DS19" s="140"/>
      <c r="DT19" s="162"/>
      <c r="DU19" s="162"/>
      <c r="DV19" s="162"/>
      <c r="DW19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19" s="145"/>
      <c r="DY19" s="145"/>
      <c r="DZ19" s="145"/>
      <c r="EA19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19" s="31"/>
      <c r="EC19" s="31"/>
      <c r="ED19" s="31"/>
      <c r="EE19" s="31"/>
      <c r="EF19" s="94"/>
    </row>
    <row r="20" spans="1:138" x14ac:dyDescent="0.45">
      <c r="A20" s="31"/>
      <c r="B20" s="31"/>
      <c r="C20" s="31"/>
      <c r="D20" s="31"/>
      <c r="E20" s="31"/>
      <c r="F20" s="31"/>
      <c r="G20" s="162"/>
      <c r="H20" s="145"/>
      <c r="I20" s="161"/>
      <c r="J20" s="161"/>
      <c r="K20" s="161"/>
      <c r="L20" s="161"/>
      <c r="M20" s="169" t="str">
        <f t="shared" si="0"/>
        <v/>
      </c>
      <c r="N20" s="161"/>
      <c r="O20" s="161"/>
      <c r="P20" s="161"/>
      <c r="Q20" s="143"/>
      <c r="R20" s="143"/>
      <c r="S20" s="143"/>
      <c r="T20" s="143"/>
      <c r="U20" s="169" t="str">
        <f t="shared" si="1"/>
        <v/>
      </c>
      <c r="V20" s="143"/>
      <c r="W20" s="143"/>
      <c r="X20" s="143"/>
      <c r="Y20" s="152"/>
      <c r="Z20" s="153"/>
      <c r="AA20" s="154"/>
      <c r="AB20" s="156"/>
      <c r="AC20" s="156"/>
      <c r="AD20" s="157"/>
      <c r="AE20" s="158"/>
      <c r="AF20" s="148"/>
      <c r="AG20" s="149"/>
      <c r="AH20" s="150"/>
      <c r="AI20" s="143"/>
      <c r="AJ20" s="143"/>
      <c r="AK20" s="81"/>
      <c r="AL20" s="81"/>
      <c r="AM20" s="138"/>
      <c r="AN20" s="154"/>
      <c r="AO20" s="139"/>
      <c r="AP20" s="140"/>
      <c r="AQ20" s="154"/>
      <c r="AR20" s="139"/>
      <c r="AS20" s="140"/>
      <c r="AT20" s="154"/>
      <c r="AU20" s="139"/>
      <c r="AV20" s="140"/>
      <c r="AW20" s="154"/>
      <c r="AX20" s="139"/>
      <c r="AY20" s="140"/>
      <c r="AZ20" s="161"/>
      <c r="BA20" s="161"/>
      <c r="BB20" s="162"/>
      <c r="BC20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0" s="145"/>
      <c r="BE20" s="145"/>
      <c r="BF20" s="145"/>
      <c r="BG20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0" s="31"/>
      <c r="BI20" s="31"/>
      <c r="BJ20" s="31"/>
      <c r="BK20" s="138"/>
      <c r="BL20" s="154"/>
      <c r="BM20" s="139"/>
      <c r="BN20" s="140"/>
      <c r="BO20" s="154"/>
      <c r="BP20" s="139"/>
      <c r="BQ20" s="140"/>
      <c r="BR20" s="154"/>
      <c r="BS20" s="139"/>
      <c r="BT20" s="140"/>
      <c r="BU20" s="154"/>
      <c r="BV20" s="139"/>
      <c r="BW20" s="140"/>
      <c r="BX20" s="162"/>
      <c r="BY20" s="162"/>
      <c r="BZ20" s="162"/>
      <c r="CA20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0" s="145"/>
      <c r="CC20" s="145"/>
      <c r="CD20" s="145"/>
      <c r="CE20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0" s="31"/>
      <c r="CG20" s="31"/>
      <c r="CH20" s="31"/>
      <c r="CI20" s="142"/>
      <c r="CJ20" s="154"/>
      <c r="CK20" s="139"/>
      <c r="CL20" s="140"/>
      <c r="CM20" s="154"/>
      <c r="CN20" s="139"/>
      <c r="CO20" s="140"/>
      <c r="CP20" s="154"/>
      <c r="CQ20" s="139"/>
      <c r="CR20" s="140"/>
      <c r="CS20" s="154"/>
      <c r="CT20" s="139"/>
      <c r="CU20" s="140"/>
      <c r="CV20" s="162"/>
      <c r="CW20" s="162"/>
      <c r="CX20" s="162"/>
      <c r="CY20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0" s="145"/>
      <c r="DA20" s="145"/>
      <c r="DB20" s="145"/>
      <c r="DC20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0" s="31"/>
      <c r="DE20" s="31"/>
      <c r="DF20" s="31"/>
      <c r="DG20" s="138"/>
      <c r="DH20" s="154"/>
      <c r="DI20" s="139"/>
      <c r="DJ20" s="140"/>
      <c r="DK20" s="154"/>
      <c r="DL20" s="139"/>
      <c r="DM20" s="140"/>
      <c r="DN20" s="154"/>
      <c r="DO20" s="139"/>
      <c r="DP20" s="140"/>
      <c r="DQ20" s="154"/>
      <c r="DR20" s="139"/>
      <c r="DS20" s="140"/>
      <c r="DT20" s="162"/>
      <c r="DU20" s="162"/>
      <c r="DV20" s="162"/>
      <c r="DW20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0" s="145"/>
      <c r="DY20" s="145"/>
      <c r="DZ20" s="145"/>
      <c r="EA20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0" s="31"/>
      <c r="EC20" s="31"/>
      <c r="ED20" s="31"/>
      <c r="EE20" s="31"/>
      <c r="EF20" s="94"/>
    </row>
    <row r="21" spans="1:138" x14ac:dyDescent="0.45">
      <c r="A21" s="31"/>
      <c r="B21" s="31"/>
      <c r="C21" s="31"/>
      <c r="D21" s="31"/>
      <c r="E21" s="31"/>
      <c r="F21" s="31"/>
      <c r="G21" s="162"/>
      <c r="H21" s="145"/>
      <c r="I21" s="161"/>
      <c r="J21" s="161"/>
      <c r="K21" s="161"/>
      <c r="L21" s="161"/>
      <c r="M21" s="169" t="str">
        <f t="shared" si="0"/>
        <v/>
      </c>
      <c r="N21" s="161"/>
      <c r="O21" s="161"/>
      <c r="P21" s="161"/>
      <c r="Q21" s="143"/>
      <c r="R21" s="143"/>
      <c r="S21" s="143"/>
      <c r="T21" s="143"/>
      <c r="U21" s="169" t="str">
        <f t="shared" si="1"/>
        <v/>
      </c>
      <c r="V21" s="143"/>
      <c r="W21" s="143"/>
      <c r="X21" s="143"/>
      <c r="Y21" s="152"/>
      <c r="Z21" s="153"/>
      <c r="AA21" s="154"/>
      <c r="AB21" s="156"/>
      <c r="AC21" s="156"/>
      <c r="AD21" s="157"/>
      <c r="AE21" s="158"/>
      <c r="AF21" s="148"/>
      <c r="AG21" s="149"/>
      <c r="AH21" s="150"/>
      <c r="AI21" s="143"/>
      <c r="AJ21" s="143"/>
      <c r="AK21" s="81"/>
      <c r="AL21" s="81"/>
      <c r="AM21" s="138"/>
      <c r="AN21" s="154"/>
      <c r="AO21" s="139"/>
      <c r="AP21" s="140"/>
      <c r="AQ21" s="154"/>
      <c r="AR21" s="139"/>
      <c r="AS21" s="140"/>
      <c r="AT21" s="154"/>
      <c r="AU21" s="139"/>
      <c r="AV21" s="140"/>
      <c r="AW21" s="154"/>
      <c r="AX21" s="139"/>
      <c r="AY21" s="140"/>
      <c r="AZ21" s="161"/>
      <c r="BA21" s="161"/>
      <c r="BB21" s="162"/>
      <c r="BC21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1" s="145"/>
      <c r="BE21" s="145"/>
      <c r="BF21" s="145"/>
      <c r="BG21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1" s="31"/>
      <c r="BI21" s="31"/>
      <c r="BJ21" s="31"/>
      <c r="BK21" s="138"/>
      <c r="BL21" s="154"/>
      <c r="BM21" s="139"/>
      <c r="BN21" s="140"/>
      <c r="BO21" s="154"/>
      <c r="BP21" s="139"/>
      <c r="BQ21" s="140"/>
      <c r="BR21" s="154"/>
      <c r="BS21" s="139"/>
      <c r="BT21" s="140"/>
      <c r="BU21" s="154"/>
      <c r="BV21" s="139"/>
      <c r="BW21" s="140"/>
      <c r="BX21" s="162"/>
      <c r="BY21" s="162"/>
      <c r="BZ21" s="162"/>
      <c r="CA21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1" s="145"/>
      <c r="CC21" s="145"/>
      <c r="CD21" s="145"/>
      <c r="CE21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1" s="31"/>
      <c r="CG21" s="31"/>
      <c r="CH21" s="31"/>
      <c r="CI21" s="142"/>
      <c r="CJ21" s="154"/>
      <c r="CK21" s="139"/>
      <c r="CL21" s="140"/>
      <c r="CM21" s="154"/>
      <c r="CN21" s="139"/>
      <c r="CO21" s="140"/>
      <c r="CP21" s="154"/>
      <c r="CQ21" s="139"/>
      <c r="CR21" s="140"/>
      <c r="CS21" s="154"/>
      <c r="CT21" s="139"/>
      <c r="CU21" s="140"/>
      <c r="CV21" s="162"/>
      <c r="CW21" s="162"/>
      <c r="CX21" s="162"/>
      <c r="CY21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1" s="145"/>
      <c r="DA21" s="145"/>
      <c r="DB21" s="145"/>
      <c r="DC21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1" s="31"/>
      <c r="DE21" s="31"/>
      <c r="DF21" s="31"/>
      <c r="DG21" s="138"/>
      <c r="DH21" s="154"/>
      <c r="DI21" s="139"/>
      <c r="DJ21" s="140"/>
      <c r="DK21" s="154"/>
      <c r="DL21" s="139"/>
      <c r="DM21" s="140"/>
      <c r="DN21" s="154"/>
      <c r="DO21" s="139"/>
      <c r="DP21" s="140"/>
      <c r="DQ21" s="154"/>
      <c r="DR21" s="139"/>
      <c r="DS21" s="140"/>
      <c r="DT21" s="162"/>
      <c r="DU21" s="162"/>
      <c r="DV21" s="162"/>
      <c r="DW21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1" s="145"/>
      <c r="DY21" s="145"/>
      <c r="DZ21" s="145"/>
      <c r="EA21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1" s="31"/>
      <c r="EC21" s="31"/>
      <c r="ED21" s="31"/>
      <c r="EE21" s="31"/>
      <c r="EF21" s="94"/>
    </row>
    <row r="22" spans="1:138" x14ac:dyDescent="0.45">
      <c r="A22" s="31"/>
      <c r="B22" s="31"/>
      <c r="C22" s="31"/>
      <c r="D22" s="31"/>
      <c r="E22" s="31"/>
      <c r="F22" s="31"/>
      <c r="G22" s="162"/>
      <c r="H22" s="145"/>
      <c r="I22" s="161"/>
      <c r="J22" s="161"/>
      <c r="K22" s="161"/>
      <c r="L22" s="161"/>
      <c r="M22" s="169" t="str">
        <f t="shared" si="0"/>
        <v/>
      </c>
      <c r="N22" s="161"/>
      <c r="O22" s="161"/>
      <c r="P22" s="161"/>
      <c r="Q22" s="143"/>
      <c r="R22" s="143"/>
      <c r="S22" s="143"/>
      <c r="T22" s="143"/>
      <c r="U22" s="169" t="str">
        <f t="shared" si="1"/>
        <v/>
      </c>
      <c r="V22" s="143"/>
      <c r="W22" s="143"/>
      <c r="X22" s="143"/>
      <c r="Y22" s="152"/>
      <c r="Z22" s="153"/>
      <c r="AA22" s="154"/>
      <c r="AB22" s="156"/>
      <c r="AC22" s="156"/>
      <c r="AD22" s="157"/>
      <c r="AE22" s="158"/>
      <c r="AF22" s="148"/>
      <c r="AG22" s="149"/>
      <c r="AH22" s="150"/>
      <c r="AI22" s="143"/>
      <c r="AJ22" s="143"/>
      <c r="AK22" s="81"/>
      <c r="AL22" s="81"/>
      <c r="AM22" s="138"/>
      <c r="AN22" s="154"/>
      <c r="AO22" s="139"/>
      <c r="AP22" s="140"/>
      <c r="AQ22" s="154"/>
      <c r="AR22" s="139"/>
      <c r="AS22" s="140"/>
      <c r="AT22" s="154"/>
      <c r="AU22" s="139"/>
      <c r="AV22" s="140"/>
      <c r="AW22" s="154"/>
      <c r="AX22" s="139"/>
      <c r="AY22" s="140"/>
      <c r="AZ22" s="161"/>
      <c r="BA22" s="161"/>
      <c r="BB22" s="162"/>
      <c r="BC22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2" s="145"/>
      <c r="BE22" s="145"/>
      <c r="BF22" s="145"/>
      <c r="BG22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2" s="31"/>
      <c r="BI22" s="31"/>
      <c r="BJ22" s="31"/>
      <c r="BK22" s="138"/>
      <c r="BL22" s="154"/>
      <c r="BM22" s="139"/>
      <c r="BN22" s="140"/>
      <c r="BO22" s="154"/>
      <c r="BP22" s="139"/>
      <c r="BQ22" s="140"/>
      <c r="BR22" s="154"/>
      <c r="BS22" s="139"/>
      <c r="BT22" s="140"/>
      <c r="BU22" s="154"/>
      <c r="BV22" s="139"/>
      <c r="BW22" s="140"/>
      <c r="BX22" s="162"/>
      <c r="BY22" s="162"/>
      <c r="BZ22" s="162"/>
      <c r="CA22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2" s="145"/>
      <c r="CC22" s="145"/>
      <c r="CD22" s="145"/>
      <c r="CE22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2" s="31"/>
      <c r="CG22" s="31"/>
      <c r="CH22" s="31"/>
      <c r="CI22" s="142"/>
      <c r="CJ22" s="154"/>
      <c r="CK22" s="139"/>
      <c r="CL22" s="140"/>
      <c r="CM22" s="154"/>
      <c r="CN22" s="139"/>
      <c r="CO22" s="140"/>
      <c r="CP22" s="154"/>
      <c r="CQ22" s="139"/>
      <c r="CR22" s="140"/>
      <c r="CS22" s="154"/>
      <c r="CT22" s="139"/>
      <c r="CU22" s="140"/>
      <c r="CV22" s="162"/>
      <c r="CW22" s="162"/>
      <c r="CX22" s="162"/>
      <c r="CY22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2" s="145"/>
      <c r="DA22" s="145"/>
      <c r="DB22" s="145"/>
      <c r="DC22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2" s="31"/>
      <c r="DE22" s="31"/>
      <c r="DF22" s="31"/>
      <c r="DG22" s="138"/>
      <c r="DH22" s="154"/>
      <c r="DI22" s="139"/>
      <c r="DJ22" s="140"/>
      <c r="DK22" s="154"/>
      <c r="DL22" s="139"/>
      <c r="DM22" s="140"/>
      <c r="DN22" s="154"/>
      <c r="DO22" s="139"/>
      <c r="DP22" s="140"/>
      <c r="DQ22" s="154"/>
      <c r="DR22" s="139"/>
      <c r="DS22" s="140"/>
      <c r="DT22" s="162"/>
      <c r="DU22" s="162"/>
      <c r="DV22" s="162"/>
      <c r="DW22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2" s="145"/>
      <c r="DY22" s="145"/>
      <c r="DZ22" s="145"/>
      <c r="EA22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2" s="31"/>
      <c r="EC22" s="31"/>
      <c r="ED22" s="31"/>
      <c r="EE22" s="31"/>
      <c r="EF22" s="94"/>
    </row>
    <row r="23" spans="1:138" x14ac:dyDescent="0.45">
      <c r="A23" s="31"/>
      <c r="B23" s="31"/>
      <c r="C23" s="31"/>
      <c r="D23" s="31"/>
      <c r="E23" s="31"/>
      <c r="F23" s="31"/>
      <c r="G23" s="162"/>
      <c r="H23" s="145"/>
      <c r="I23" s="161"/>
      <c r="J23" s="161"/>
      <c r="K23" s="161"/>
      <c r="L23" s="161"/>
      <c r="M23" s="169" t="str">
        <f t="shared" si="0"/>
        <v/>
      </c>
      <c r="N23" s="161"/>
      <c r="O23" s="161"/>
      <c r="P23" s="161"/>
      <c r="Q23" s="143"/>
      <c r="R23" s="143"/>
      <c r="S23" s="143"/>
      <c r="T23" s="143"/>
      <c r="U23" s="169" t="str">
        <f t="shared" si="1"/>
        <v/>
      </c>
      <c r="V23" s="143"/>
      <c r="W23" s="143"/>
      <c r="X23" s="143"/>
      <c r="Y23" s="152"/>
      <c r="Z23" s="153"/>
      <c r="AA23" s="154"/>
      <c r="AB23" s="156"/>
      <c r="AC23" s="156"/>
      <c r="AD23" s="157"/>
      <c r="AE23" s="158"/>
      <c r="AF23" s="148"/>
      <c r="AG23" s="149"/>
      <c r="AH23" s="150"/>
      <c r="AI23" s="143"/>
      <c r="AJ23" s="143"/>
      <c r="AK23" s="81"/>
      <c r="AL23" s="81"/>
      <c r="AM23" s="138"/>
      <c r="AN23" s="154"/>
      <c r="AO23" s="139"/>
      <c r="AP23" s="140"/>
      <c r="AQ23" s="154"/>
      <c r="AR23" s="139"/>
      <c r="AS23" s="140"/>
      <c r="AT23" s="154"/>
      <c r="AU23" s="139"/>
      <c r="AV23" s="140"/>
      <c r="AW23" s="154"/>
      <c r="AX23" s="139"/>
      <c r="AY23" s="140"/>
      <c r="AZ23" s="161"/>
      <c r="BA23" s="161"/>
      <c r="BB23" s="162"/>
      <c r="BC23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3" s="145"/>
      <c r="BE23" s="145"/>
      <c r="BF23" s="145"/>
      <c r="BG23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3" s="31"/>
      <c r="BI23" s="31"/>
      <c r="BJ23" s="31"/>
      <c r="BK23" s="138"/>
      <c r="BL23" s="154"/>
      <c r="BM23" s="139"/>
      <c r="BN23" s="140"/>
      <c r="BO23" s="154"/>
      <c r="BP23" s="139"/>
      <c r="BQ23" s="140"/>
      <c r="BR23" s="154"/>
      <c r="BS23" s="139"/>
      <c r="BT23" s="140"/>
      <c r="BU23" s="154"/>
      <c r="BV23" s="139"/>
      <c r="BW23" s="140"/>
      <c r="BX23" s="162"/>
      <c r="BY23" s="162"/>
      <c r="BZ23" s="162"/>
      <c r="CA23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3" s="145"/>
      <c r="CC23" s="145"/>
      <c r="CD23" s="145"/>
      <c r="CE23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3" s="31"/>
      <c r="CG23" s="31"/>
      <c r="CH23" s="31"/>
      <c r="CI23" s="142"/>
      <c r="CJ23" s="154"/>
      <c r="CK23" s="139"/>
      <c r="CL23" s="140"/>
      <c r="CM23" s="154"/>
      <c r="CN23" s="139"/>
      <c r="CO23" s="140"/>
      <c r="CP23" s="154"/>
      <c r="CQ23" s="139"/>
      <c r="CR23" s="140"/>
      <c r="CS23" s="154"/>
      <c r="CT23" s="139"/>
      <c r="CU23" s="140"/>
      <c r="CV23" s="162"/>
      <c r="CW23" s="162"/>
      <c r="CX23" s="162"/>
      <c r="CY23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3" s="145"/>
      <c r="DA23" s="145"/>
      <c r="DB23" s="145"/>
      <c r="DC23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3" s="31"/>
      <c r="DE23" s="31"/>
      <c r="DF23" s="31"/>
      <c r="DG23" s="138"/>
      <c r="DH23" s="154"/>
      <c r="DI23" s="139"/>
      <c r="DJ23" s="140"/>
      <c r="DK23" s="154"/>
      <c r="DL23" s="139"/>
      <c r="DM23" s="140"/>
      <c r="DN23" s="154"/>
      <c r="DO23" s="139"/>
      <c r="DP23" s="140"/>
      <c r="DQ23" s="154"/>
      <c r="DR23" s="139"/>
      <c r="DS23" s="140"/>
      <c r="DT23" s="162"/>
      <c r="DU23" s="162"/>
      <c r="DV23" s="162"/>
      <c r="DW23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3" s="145"/>
      <c r="DY23" s="145"/>
      <c r="DZ23" s="145"/>
      <c r="EA23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3" s="31"/>
      <c r="EC23" s="31"/>
      <c r="ED23" s="31"/>
      <c r="EE23" s="31"/>
      <c r="EF23" s="94"/>
    </row>
    <row r="24" spans="1:138" x14ac:dyDescent="0.45">
      <c r="A24" s="31"/>
      <c r="B24" s="31"/>
      <c r="C24" s="31"/>
      <c r="D24" s="31"/>
      <c r="E24" s="31"/>
      <c r="F24" s="31"/>
      <c r="G24" s="162"/>
      <c r="H24" s="145"/>
      <c r="I24" s="161"/>
      <c r="J24" s="161"/>
      <c r="K24" s="161"/>
      <c r="L24" s="161"/>
      <c r="M24" s="169" t="str">
        <f t="shared" si="0"/>
        <v/>
      </c>
      <c r="N24" s="161"/>
      <c r="O24" s="161"/>
      <c r="P24" s="161"/>
      <c r="Q24" s="143"/>
      <c r="R24" s="143"/>
      <c r="S24" s="143"/>
      <c r="T24" s="143"/>
      <c r="U24" s="169" t="str">
        <f t="shared" si="1"/>
        <v/>
      </c>
      <c r="V24" s="143"/>
      <c r="W24" s="143"/>
      <c r="X24" s="143"/>
      <c r="Y24" s="152"/>
      <c r="Z24" s="153"/>
      <c r="AA24" s="154"/>
      <c r="AB24" s="156"/>
      <c r="AC24" s="156"/>
      <c r="AD24" s="157"/>
      <c r="AE24" s="158"/>
      <c r="AF24" s="148"/>
      <c r="AG24" s="149"/>
      <c r="AH24" s="150"/>
      <c r="AI24" s="143"/>
      <c r="AJ24" s="143"/>
      <c r="AK24" s="81"/>
      <c r="AL24" s="81"/>
      <c r="AM24" s="138"/>
      <c r="AN24" s="154"/>
      <c r="AO24" s="139"/>
      <c r="AP24" s="140"/>
      <c r="AQ24" s="154"/>
      <c r="AR24" s="139"/>
      <c r="AS24" s="140"/>
      <c r="AT24" s="154"/>
      <c r="AU24" s="139"/>
      <c r="AV24" s="140"/>
      <c r="AW24" s="154"/>
      <c r="AX24" s="139"/>
      <c r="AY24" s="140"/>
      <c r="AZ24" s="161"/>
      <c r="BA24" s="161"/>
      <c r="BB24" s="162"/>
      <c r="BC24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4" s="145"/>
      <c r="BE24" s="145"/>
      <c r="BF24" s="145"/>
      <c r="BG24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4" s="31"/>
      <c r="BI24" s="31"/>
      <c r="BJ24" s="31"/>
      <c r="BK24" s="138"/>
      <c r="BL24" s="154"/>
      <c r="BM24" s="139"/>
      <c r="BN24" s="140"/>
      <c r="BO24" s="154"/>
      <c r="BP24" s="139"/>
      <c r="BQ24" s="140"/>
      <c r="BR24" s="154"/>
      <c r="BS24" s="139"/>
      <c r="BT24" s="140"/>
      <c r="BU24" s="154"/>
      <c r="BV24" s="139"/>
      <c r="BW24" s="140"/>
      <c r="BX24" s="162"/>
      <c r="BY24" s="162"/>
      <c r="BZ24" s="162"/>
      <c r="CA24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4" s="145"/>
      <c r="CC24" s="145"/>
      <c r="CD24" s="145"/>
      <c r="CE24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4" s="31"/>
      <c r="CG24" s="31"/>
      <c r="CH24" s="31"/>
      <c r="CI24" s="142"/>
      <c r="CJ24" s="154"/>
      <c r="CK24" s="139"/>
      <c r="CL24" s="140"/>
      <c r="CM24" s="154"/>
      <c r="CN24" s="139"/>
      <c r="CO24" s="140"/>
      <c r="CP24" s="154"/>
      <c r="CQ24" s="139"/>
      <c r="CR24" s="140"/>
      <c r="CS24" s="154"/>
      <c r="CT24" s="139"/>
      <c r="CU24" s="140"/>
      <c r="CV24" s="162"/>
      <c r="CW24" s="162"/>
      <c r="CX24" s="162"/>
      <c r="CY24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4" s="145"/>
      <c r="DA24" s="145"/>
      <c r="DB24" s="145"/>
      <c r="DC24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4" s="31"/>
      <c r="DE24" s="31"/>
      <c r="DF24" s="31"/>
      <c r="DG24" s="138"/>
      <c r="DH24" s="154"/>
      <c r="DI24" s="139"/>
      <c r="DJ24" s="140"/>
      <c r="DK24" s="154"/>
      <c r="DL24" s="139"/>
      <c r="DM24" s="140"/>
      <c r="DN24" s="154"/>
      <c r="DO24" s="139"/>
      <c r="DP24" s="140"/>
      <c r="DQ24" s="154"/>
      <c r="DR24" s="139"/>
      <c r="DS24" s="140"/>
      <c r="DT24" s="162"/>
      <c r="DU24" s="162"/>
      <c r="DV24" s="162"/>
      <c r="DW24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4" s="145"/>
      <c r="DY24" s="145"/>
      <c r="DZ24" s="145"/>
      <c r="EA24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4" s="31"/>
      <c r="EC24" s="31"/>
      <c r="ED24" s="31"/>
      <c r="EE24" s="31"/>
      <c r="EF24" s="94"/>
    </row>
    <row r="25" spans="1:138" x14ac:dyDescent="0.45">
      <c r="A25" s="31"/>
      <c r="B25" s="31"/>
      <c r="C25" s="31"/>
      <c r="D25" s="31"/>
      <c r="E25" s="31"/>
      <c r="F25" s="31"/>
      <c r="G25" s="162"/>
      <c r="H25" s="145"/>
      <c r="I25" s="161"/>
      <c r="J25" s="161"/>
      <c r="K25" s="161"/>
      <c r="L25" s="161"/>
      <c r="M25" s="169" t="str">
        <f t="shared" si="0"/>
        <v/>
      </c>
      <c r="N25" s="161"/>
      <c r="O25" s="161"/>
      <c r="P25" s="161"/>
      <c r="Q25" s="143"/>
      <c r="R25" s="143"/>
      <c r="S25" s="143"/>
      <c r="T25" s="143"/>
      <c r="U25" s="169" t="str">
        <f t="shared" si="1"/>
        <v/>
      </c>
      <c r="V25" s="143"/>
      <c r="W25" s="143"/>
      <c r="X25" s="143"/>
      <c r="Y25" s="152"/>
      <c r="Z25" s="153"/>
      <c r="AA25" s="154"/>
      <c r="AB25" s="156"/>
      <c r="AC25" s="156"/>
      <c r="AD25" s="157"/>
      <c r="AE25" s="158"/>
      <c r="AF25" s="148"/>
      <c r="AG25" s="149"/>
      <c r="AH25" s="150"/>
      <c r="AI25" s="143"/>
      <c r="AJ25" s="143"/>
      <c r="AK25" s="81"/>
      <c r="AL25" s="81"/>
      <c r="AM25" s="138"/>
      <c r="AN25" s="154"/>
      <c r="AO25" s="139"/>
      <c r="AP25" s="140"/>
      <c r="AQ25" s="154"/>
      <c r="AR25" s="139"/>
      <c r="AS25" s="140"/>
      <c r="AT25" s="154"/>
      <c r="AU25" s="139"/>
      <c r="AV25" s="140"/>
      <c r="AW25" s="154"/>
      <c r="AX25" s="139"/>
      <c r="AY25" s="140"/>
      <c r="AZ25" s="161"/>
      <c r="BA25" s="161"/>
      <c r="BB25" s="162"/>
      <c r="BC25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5" s="145"/>
      <c r="BE25" s="145"/>
      <c r="BF25" s="145"/>
      <c r="BG25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5" s="31"/>
      <c r="BI25" s="31"/>
      <c r="BJ25" s="31"/>
      <c r="BK25" s="138"/>
      <c r="BL25" s="154"/>
      <c r="BM25" s="139"/>
      <c r="BN25" s="140"/>
      <c r="BO25" s="154"/>
      <c r="BP25" s="139"/>
      <c r="BQ25" s="140"/>
      <c r="BR25" s="154"/>
      <c r="BS25" s="139"/>
      <c r="BT25" s="140"/>
      <c r="BU25" s="154"/>
      <c r="BV25" s="139"/>
      <c r="BW25" s="140"/>
      <c r="BX25" s="162"/>
      <c r="BY25" s="162"/>
      <c r="BZ25" s="162"/>
      <c r="CA25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5" s="145"/>
      <c r="CC25" s="145"/>
      <c r="CD25" s="145"/>
      <c r="CE25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5" s="31"/>
      <c r="CG25" s="31"/>
      <c r="CH25" s="31"/>
      <c r="CI25" s="142"/>
      <c r="CJ25" s="154"/>
      <c r="CK25" s="139"/>
      <c r="CL25" s="140"/>
      <c r="CM25" s="154"/>
      <c r="CN25" s="139"/>
      <c r="CO25" s="140"/>
      <c r="CP25" s="154"/>
      <c r="CQ25" s="139"/>
      <c r="CR25" s="140"/>
      <c r="CS25" s="154"/>
      <c r="CT25" s="139"/>
      <c r="CU25" s="140"/>
      <c r="CV25" s="162"/>
      <c r="CW25" s="162"/>
      <c r="CX25" s="162"/>
      <c r="CY25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5" s="145"/>
      <c r="DA25" s="145"/>
      <c r="DB25" s="145"/>
      <c r="DC25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5" s="31"/>
      <c r="DE25" s="31"/>
      <c r="DF25" s="31"/>
      <c r="DG25" s="138"/>
      <c r="DH25" s="154"/>
      <c r="DI25" s="139"/>
      <c r="DJ25" s="140"/>
      <c r="DK25" s="154"/>
      <c r="DL25" s="139"/>
      <c r="DM25" s="140"/>
      <c r="DN25" s="154"/>
      <c r="DO25" s="139"/>
      <c r="DP25" s="140"/>
      <c r="DQ25" s="154"/>
      <c r="DR25" s="139"/>
      <c r="DS25" s="140"/>
      <c r="DT25" s="162"/>
      <c r="DU25" s="162"/>
      <c r="DV25" s="162"/>
      <c r="DW25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5" s="145"/>
      <c r="DY25" s="145"/>
      <c r="DZ25" s="145"/>
      <c r="EA25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5" s="31"/>
      <c r="EC25" s="31"/>
      <c r="ED25" s="31"/>
      <c r="EE25" s="31"/>
      <c r="EF25" s="94"/>
    </row>
    <row r="26" spans="1:138" x14ac:dyDescent="0.45">
      <c r="A26" s="31"/>
      <c r="B26" s="31"/>
      <c r="C26" s="31"/>
      <c r="D26" s="31"/>
      <c r="E26" s="31"/>
      <c r="F26" s="31"/>
      <c r="G26" s="162"/>
      <c r="H26" s="145"/>
      <c r="I26" s="161"/>
      <c r="J26" s="161"/>
      <c r="K26" s="161"/>
      <c r="L26" s="161"/>
      <c r="M26" s="169" t="str">
        <f t="shared" si="0"/>
        <v/>
      </c>
      <c r="N26" s="161"/>
      <c r="O26" s="161"/>
      <c r="P26" s="161"/>
      <c r="Q26" s="143"/>
      <c r="R26" s="143"/>
      <c r="S26" s="143"/>
      <c r="T26" s="143"/>
      <c r="U26" s="169" t="str">
        <f t="shared" si="1"/>
        <v/>
      </c>
      <c r="V26" s="143"/>
      <c r="W26" s="143"/>
      <c r="X26" s="143"/>
      <c r="Y26" s="152"/>
      <c r="Z26" s="153"/>
      <c r="AA26" s="154"/>
      <c r="AB26" s="156"/>
      <c r="AC26" s="156"/>
      <c r="AD26" s="157"/>
      <c r="AE26" s="158"/>
      <c r="AF26" s="148"/>
      <c r="AG26" s="149"/>
      <c r="AH26" s="150"/>
      <c r="AI26" s="143"/>
      <c r="AJ26" s="143"/>
      <c r="AK26" s="81"/>
      <c r="AL26" s="81"/>
      <c r="AM26" s="138"/>
      <c r="AN26" s="154"/>
      <c r="AO26" s="139"/>
      <c r="AP26" s="140"/>
      <c r="AQ26" s="154"/>
      <c r="AR26" s="139"/>
      <c r="AS26" s="140"/>
      <c r="AT26" s="154"/>
      <c r="AU26" s="139"/>
      <c r="AV26" s="140"/>
      <c r="AW26" s="154"/>
      <c r="AX26" s="139"/>
      <c r="AY26" s="140"/>
      <c r="AZ26" s="161"/>
      <c r="BA26" s="161"/>
      <c r="BB26" s="162"/>
      <c r="BC26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6" s="145"/>
      <c r="BE26" s="145"/>
      <c r="BF26" s="145"/>
      <c r="BG26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6" s="31"/>
      <c r="BI26" s="31"/>
      <c r="BJ26" s="31"/>
      <c r="BK26" s="138"/>
      <c r="BL26" s="154"/>
      <c r="BM26" s="139"/>
      <c r="BN26" s="140"/>
      <c r="BO26" s="154"/>
      <c r="BP26" s="139"/>
      <c r="BQ26" s="140"/>
      <c r="BR26" s="154"/>
      <c r="BS26" s="139"/>
      <c r="BT26" s="140"/>
      <c r="BU26" s="154"/>
      <c r="BV26" s="139"/>
      <c r="BW26" s="140"/>
      <c r="BX26" s="162"/>
      <c r="BY26" s="162"/>
      <c r="BZ26" s="162"/>
      <c r="CA26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6" s="145"/>
      <c r="CC26" s="145"/>
      <c r="CD26" s="145"/>
      <c r="CE26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6" s="31"/>
      <c r="CG26" s="31"/>
      <c r="CH26" s="31"/>
      <c r="CI26" s="142"/>
      <c r="CJ26" s="154"/>
      <c r="CK26" s="139"/>
      <c r="CL26" s="140"/>
      <c r="CM26" s="154"/>
      <c r="CN26" s="139"/>
      <c r="CO26" s="140"/>
      <c r="CP26" s="154"/>
      <c r="CQ26" s="139"/>
      <c r="CR26" s="140"/>
      <c r="CS26" s="154"/>
      <c r="CT26" s="139"/>
      <c r="CU26" s="140"/>
      <c r="CV26" s="162"/>
      <c r="CW26" s="162"/>
      <c r="CX26" s="162"/>
      <c r="CY26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6" s="145"/>
      <c r="DA26" s="145"/>
      <c r="DB26" s="145"/>
      <c r="DC26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6" s="31"/>
      <c r="DE26" s="31"/>
      <c r="DF26" s="31"/>
      <c r="DG26" s="138"/>
      <c r="DH26" s="154"/>
      <c r="DI26" s="139"/>
      <c r="DJ26" s="140"/>
      <c r="DK26" s="154"/>
      <c r="DL26" s="139"/>
      <c r="DM26" s="140"/>
      <c r="DN26" s="154"/>
      <c r="DO26" s="139"/>
      <c r="DP26" s="140"/>
      <c r="DQ26" s="154"/>
      <c r="DR26" s="139"/>
      <c r="DS26" s="140"/>
      <c r="DT26" s="162"/>
      <c r="DU26" s="162"/>
      <c r="DV26" s="162"/>
      <c r="DW26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6" s="145"/>
      <c r="DY26" s="145"/>
      <c r="DZ26" s="145"/>
      <c r="EA26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6" s="31"/>
      <c r="EC26" s="31"/>
      <c r="ED26" s="31"/>
      <c r="EE26" s="31"/>
      <c r="EF26" s="94"/>
    </row>
    <row r="27" spans="1:138" x14ac:dyDescent="0.45">
      <c r="A27" s="31"/>
      <c r="B27" s="31"/>
      <c r="C27" s="31"/>
      <c r="D27" s="31"/>
      <c r="E27" s="31"/>
      <c r="F27" s="31"/>
      <c r="G27" s="162"/>
      <c r="H27" s="145"/>
      <c r="I27" s="161"/>
      <c r="J27" s="161"/>
      <c r="K27" s="161"/>
      <c r="L27" s="161"/>
      <c r="M27" s="169" t="str">
        <f t="shared" si="0"/>
        <v/>
      </c>
      <c r="N27" s="161"/>
      <c r="O27" s="161"/>
      <c r="P27" s="161"/>
      <c r="Q27" s="143"/>
      <c r="R27" s="143"/>
      <c r="S27" s="143"/>
      <c r="T27" s="143"/>
      <c r="U27" s="169" t="str">
        <f t="shared" si="1"/>
        <v/>
      </c>
      <c r="V27" s="143"/>
      <c r="W27" s="143"/>
      <c r="X27" s="143"/>
      <c r="Y27" s="152"/>
      <c r="Z27" s="153"/>
      <c r="AA27" s="154"/>
      <c r="AB27" s="156"/>
      <c r="AC27" s="156"/>
      <c r="AD27" s="157"/>
      <c r="AE27" s="158"/>
      <c r="AF27" s="148"/>
      <c r="AG27" s="149"/>
      <c r="AH27" s="150"/>
      <c r="AI27" s="143"/>
      <c r="AJ27" s="143"/>
      <c r="AK27" s="81"/>
      <c r="AL27" s="81"/>
      <c r="AM27" s="138"/>
      <c r="AN27" s="154"/>
      <c r="AO27" s="139"/>
      <c r="AP27" s="140"/>
      <c r="AQ27" s="154"/>
      <c r="AR27" s="139"/>
      <c r="AS27" s="140"/>
      <c r="AT27" s="154"/>
      <c r="AU27" s="139"/>
      <c r="AV27" s="140"/>
      <c r="AW27" s="154"/>
      <c r="AX27" s="139"/>
      <c r="AY27" s="140"/>
      <c r="AZ27" s="161"/>
      <c r="BA27" s="161"/>
      <c r="BB27" s="162"/>
      <c r="BC27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7" s="145"/>
      <c r="BE27" s="145"/>
      <c r="BF27" s="145"/>
      <c r="BG27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7" s="31"/>
      <c r="BI27" s="31"/>
      <c r="BJ27" s="31"/>
      <c r="BK27" s="138"/>
      <c r="BL27" s="154"/>
      <c r="BM27" s="139"/>
      <c r="BN27" s="140"/>
      <c r="BO27" s="154"/>
      <c r="BP27" s="139"/>
      <c r="BQ27" s="140"/>
      <c r="BR27" s="154"/>
      <c r="BS27" s="139"/>
      <c r="BT27" s="140"/>
      <c r="BU27" s="154"/>
      <c r="BV27" s="139"/>
      <c r="BW27" s="140"/>
      <c r="BX27" s="162"/>
      <c r="BY27" s="162"/>
      <c r="BZ27" s="162"/>
      <c r="CA27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7" s="145"/>
      <c r="CC27" s="145"/>
      <c r="CD27" s="145"/>
      <c r="CE27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7" s="31"/>
      <c r="CG27" s="31"/>
      <c r="CH27" s="31"/>
      <c r="CI27" s="142"/>
      <c r="CJ27" s="154"/>
      <c r="CK27" s="139"/>
      <c r="CL27" s="140"/>
      <c r="CM27" s="154"/>
      <c r="CN27" s="139"/>
      <c r="CO27" s="140"/>
      <c r="CP27" s="154"/>
      <c r="CQ27" s="139"/>
      <c r="CR27" s="140"/>
      <c r="CS27" s="154"/>
      <c r="CT27" s="139"/>
      <c r="CU27" s="140"/>
      <c r="CV27" s="162"/>
      <c r="CW27" s="162"/>
      <c r="CX27" s="162"/>
      <c r="CY27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7" s="145"/>
      <c r="DA27" s="145"/>
      <c r="DB27" s="145"/>
      <c r="DC27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7" s="31"/>
      <c r="DE27" s="31"/>
      <c r="DF27" s="31"/>
      <c r="DG27" s="138"/>
      <c r="DH27" s="154"/>
      <c r="DI27" s="139"/>
      <c r="DJ27" s="140"/>
      <c r="DK27" s="154"/>
      <c r="DL27" s="139"/>
      <c r="DM27" s="140"/>
      <c r="DN27" s="154"/>
      <c r="DO27" s="139"/>
      <c r="DP27" s="140"/>
      <c r="DQ27" s="154"/>
      <c r="DR27" s="139"/>
      <c r="DS27" s="140"/>
      <c r="DT27" s="162"/>
      <c r="DU27" s="162"/>
      <c r="DV27" s="162"/>
      <c r="DW27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7" s="145"/>
      <c r="DY27" s="145"/>
      <c r="DZ27" s="145"/>
      <c r="EA27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7" s="31"/>
      <c r="EC27" s="31"/>
      <c r="ED27" s="31"/>
      <c r="EE27" s="31"/>
      <c r="EF27" s="94"/>
    </row>
    <row r="28" spans="1:138" x14ac:dyDescent="0.45">
      <c r="A28" s="141"/>
      <c r="B28" s="141"/>
      <c r="C28" s="141"/>
      <c r="D28" s="31"/>
      <c r="E28" s="141"/>
      <c r="F28" s="141"/>
      <c r="G28" s="155"/>
      <c r="H28" s="151"/>
      <c r="I28" s="154"/>
      <c r="J28" s="154"/>
      <c r="K28" s="154"/>
      <c r="L28" s="154"/>
      <c r="M28" s="169" t="str">
        <f>IF(OR(I28="",K28="")=TRUE,"",ABS(K28-I28))</f>
        <v/>
      </c>
      <c r="N28" s="154"/>
      <c r="O28" s="154"/>
      <c r="P28" s="154"/>
      <c r="Q28" s="139"/>
      <c r="R28" s="139"/>
      <c r="S28" s="139"/>
      <c r="T28" s="139"/>
      <c r="U28" s="169" t="str">
        <f t="shared" si="1"/>
        <v/>
      </c>
      <c r="V28" s="139"/>
      <c r="W28" s="139"/>
      <c r="X28" s="139"/>
      <c r="Y28" s="152"/>
      <c r="Z28" s="153"/>
      <c r="AA28" s="155"/>
      <c r="AB28" s="159"/>
      <c r="AC28" s="156"/>
      <c r="AD28" s="157"/>
      <c r="AE28" s="158"/>
      <c r="AF28" s="148"/>
      <c r="AG28" s="149"/>
      <c r="AH28" s="150"/>
      <c r="AI28" s="143"/>
      <c r="AJ28" s="143"/>
      <c r="AK28" s="81"/>
      <c r="AL28" s="81"/>
      <c r="AM28" s="138"/>
      <c r="AN28" s="161"/>
      <c r="AO28" s="143"/>
      <c r="AP28" s="144"/>
      <c r="AQ28" s="162"/>
      <c r="AR28" s="145"/>
      <c r="AS28" s="146"/>
      <c r="AT28" s="162"/>
      <c r="AU28" s="145"/>
      <c r="AV28" s="146"/>
      <c r="AW28" s="162"/>
      <c r="AX28" s="145"/>
      <c r="AY28" s="146"/>
      <c r="AZ28" s="161"/>
      <c r="BA28" s="161"/>
      <c r="BB28" s="161"/>
      <c r="BC28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8" s="145"/>
      <c r="BE28" s="145"/>
      <c r="BF28" s="145"/>
      <c r="BG28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8" s="31"/>
      <c r="BI28" s="31"/>
      <c r="BJ28" s="31"/>
      <c r="BK28" s="138"/>
      <c r="BL28" s="162"/>
      <c r="BM28" s="145"/>
      <c r="BN28" s="146"/>
      <c r="BO28" s="162"/>
      <c r="BP28" s="145"/>
      <c r="BQ28" s="146"/>
      <c r="BR28" s="162"/>
      <c r="BS28" s="145"/>
      <c r="BT28" s="146"/>
      <c r="BU28" s="162"/>
      <c r="BV28" s="145"/>
      <c r="BW28" s="146"/>
      <c r="BX28" s="162"/>
      <c r="BY28" s="162"/>
      <c r="BZ28" s="162"/>
      <c r="CA28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8" s="145"/>
      <c r="CC28" s="145"/>
      <c r="CD28" s="145"/>
      <c r="CE28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8" s="31"/>
      <c r="CG28" s="31"/>
      <c r="CH28" s="31"/>
      <c r="CI28" s="142"/>
      <c r="CJ28" s="162"/>
      <c r="CK28" s="145"/>
      <c r="CL28" s="146"/>
      <c r="CM28" s="162"/>
      <c r="CN28" s="145"/>
      <c r="CO28" s="146"/>
      <c r="CP28" s="162"/>
      <c r="CQ28" s="145"/>
      <c r="CR28" s="146"/>
      <c r="CS28" s="162"/>
      <c r="CT28" s="145"/>
      <c r="CU28" s="146"/>
      <c r="CV28" s="162"/>
      <c r="CW28" s="162"/>
      <c r="CX28" s="162"/>
      <c r="CY28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8" s="145"/>
      <c r="DA28" s="145"/>
      <c r="DB28" s="145"/>
      <c r="DC28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8" s="31"/>
      <c r="DE28" s="31"/>
      <c r="DF28" s="31"/>
      <c r="DG28" s="138"/>
      <c r="DH28" s="162"/>
      <c r="DI28" s="145"/>
      <c r="DJ28" s="146"/>
      <c r="DK28" s="162"/>
      <c r="DL28" s="145"/>
      <c r="DM28" s="146"/>
      <c r="DN28" s="162"/>
      <c r="DO28" s="145"/>
      <c r="DP28" s="146"/>
      <c r="DQ28" s="162"/>
      <c r="DR28" s="145"/>
      <c r="DS28" s="146"/>
      <c r="DT28" s="162"/>
      <c r="DU28" s="162"/>
      <c r="DV28" s="162"/>
      <c r="DW28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8" s="145"/>
      <c r="DY28" s="145"/>
      <c r="DZ28" s="145"/>
      <c r="EA28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8" s="31"/>
      <c r="EC28" s="31"/>
      <c r="ED28" s="31"/>
      <c r="EE28" s="31"/>
    </row>
    <row r="29" spans="1:138" x14ac:dyDescent="0.45">
      <c r="A29" s="141"/>
      <c r="B29" s="141"/>
      <c r="C29" s="141"/>
      <c r="D29" s="31"/>
      <c r="E29" s="141"/>
      <c r="F29" s="141"/>
      <c r="G29" s="155"/>
      <c r="H29" s="151"/>
      <c r="I29" s="154"/>
      <c r="J29" s="154"/>
      <c r="K29" s="154"/>
      <c r="L29" s="154"/>
      <c r="M29" s="169" t="str">
        <f t="shared" si="0"/>
        <v/>
      </c>
      <c r="N29" s="154"/>
      <c r="O29" s="154"/>
      <c r="P29" s="154"/>
      <c r="Q29" s="139"/>
      <c r="R29" s="139"/>
      <c r="S29" s="139"/>
      <c r="T29" s="139"/>
      <c r="U29" s="169" t="str">
        <f t="shared" si="1"/>
        <v/>
      </c>
      <c r="V29" s="139"/>
      <c r="W29" s="139"/>
      <c r="X29" s="139"/>
      <c r="Y29" s="152"/>
      <c r="Z29" s="153"/>
      <c r="AA29" s="155"/>
      <c r="AB29" s="159"/>
      <c r="AC29" s="156"/>
      <c r="AD29" s="157"/>
      <c r="AE29" s="158"/>
      <c r="AF29" s="148"/>
      <c r="AG29" s="149"/>
      <c r="AH29" s="150"/>
      <c r="AI29" s="143"/>
      <c r="AJ29" s="143"/>
      <c r="AK29" s="81"/>
      <c r="AL29" s="81"/>
      <c r="AM29" s="138"/>
      <c r="AN29" s="161"/>
      <c r="AO29" s="143"/>
      <c r="AP29" s="144"/>
      <c r="AQ29" s="162"/>
      <c r="AR29" s="145"/>
      <c r="AS29" s="146"/>
      <c r="AT29" s="162"/>
      <c r="AU29" s="145"/>
      <c r="AV29" s="146"/>
      <c r="AW29" s="162"/>
      <c r="AX29" s="145"/>
      <c r="AY29" s="146"/>
      <c r="AZ29" s="161"/>
      <c r="BA29" s="161"/>
      <c r="BB29" s="161"/>
      <c r="BC29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29" s="145"/>
      <c r="BE29" s="145"/>
      <c r="BF29" s="145"/>
      <c r="BG29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29" s="31"/>
      <c r="BI29" s="31"/>
      <c r="BJ29" s="31"/>
      <c r="BK29" s="138"/>
      <c r="BL29" s="162"/>
      <c r="BM29" s="145"/>
      <c r="BN29" s="146"/>
      <c r="BO29" s="162"/>
      <c r="BP29" s="145"/>
      <c r="BQ29" s="146"/>
      <c r="BR29" s="162"/>
      <c r="BS29" s="145"/>
      <c r="BT29" s="146"/>
      <c r="BU29" s="162"/>
      <c r="BV29" s="145"/>
      <c r="BW29" s="146"/>
      <c r="BX29" s="162"/>
      <c r="BY29" s="162"/>
      <c r="BZ29" s="162"/>
      <c r="CA29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29" s="145"/>
      <c r="CC29" s="145"/>
      <c r="CD29" s="145"/>
      <c r="CE29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29" s="31"/>
      <c r="CG29" s="31"/>
      <c r="CH29" s="31"/>
      <c r="CI29" s="142"/>
      <c r="CJ29" s="162"/>
      <c r="CK29" s="145"/>
      <c r="CL29" s="146"/>
      <c r="CM29" s="162"/>
      <c r="CN29" s="145"/>
      <c r="CO29" s="146"/>
      <c r="CP29" s="162"/>
      <c r="CQ29" s="145"/>
      <c r="CR29" s="146"/>
      <c r="CS29" s="162"/>
      <c r="CT29" s="145"/>
      <c r="CU29" s="146"/>
      <c r="CV29" s="162"/>
      <c r="CW29" s="162"/>
      <c r="CX29" s="162"/>
      <c r="CY29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29" s="145"/>
      <c r="DA29" s="145"/>
      <c r="DB29" s="145"/>
      <c r="DC29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29" s="31"/>
      <c r="DE29" s="31"/>
      <c r="DF29" s="31"/>
      <c r="DG29" s="138"/>
      <c r="DH29" s="162"/>
      <c r="DI29" s="145"/>
      <c r="DJ29" s="146"/>
      <c r="DK29" s="162"/>
      <c r="DL29" s="145"/>
      <c r="DM29" s="146"/>
      <c r="DN29" s="162"/>
      <c r="DO29" s="145"/>
      <c r="DP29" s="146"/>
      <c r="DQ29" s="162"/>
      <c r="DR29" s="145"/>
      <c r="DS29" s="146"/>
      <c r="DT29" s="162"/>
      <c r="DU29" s="162"/>
      <c r="DV29" s="162"/>
      <c r="DW29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29" s="145"/>
      <c r="DY29" s="145"/>
      <c r="DZ29" s="145"/>
      <c r="EA29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29" s="31"/>
      <c r="EC29" s="31"/>
      <c r="ED29" s="31"/>
      <c r="EE29" s="31"/>
      <c r="EG29" s="86"/>
      <c r="EH29" s="86"/>
    </row>
    <row r="30" spans="1:138" x14ac:dyDescent="0.45">
      <c r="A30" s="141"/>
      <c r="B30" s="141"/>
      <c r="C30" s="141"/>
      <c r="D30" s="31"/>
      <c r="E30" s="141"/>
      <c r="F30" s="141"/>
      <c r="G30" s="155"/>
      <c r="H30" s="151"/>
      <c r="I30" s="154"/>
      <c r="J30" s="154"/>
      <c r="K30" s="154"/>
      <c r="L30" s="154"/>
      <c r="M30" s="169" t="str">
        <f t="shared" si="0"/>
        <v/>
      </c>
      <c r="N30" s="154"/>
      <c r="O30" s="154"/>
      <c r="P30" s="154"/>
      <c r="Q30" s="139"/>
      <c r="R30" s="139"/>
      <c r="S30" s="139"/>
      <c r="T30" s="139"/>
      <c r="U30" s="169" t="str">
        <f t="shared" si="1"/>
        <v/>
      </c>
      <c r="V30" s="139"/>
      <c r="W30" s="139"/>
      <c r="X30" s="139"/>
      <c r="Y30" s="152"/>
      <c r="Z30" s="153"/>
      <c r="AA30" s="155"/>
      <c r="AB30" s="159"/>
      <c r="AC30" s="156"/>
      <c r="AD30" s="157"/>
      <c r="AE30" s="158"/>
      <c r="AF30" s="148"/>
      <c r="AG30" s="149"/>
      <c r="AH30" s="150"/>
      <c r="AI30" s="143"/>
      <c r="AJ30" s="143"/>
      <c r="AK30" s="81"/>
      <c r="AL30" s="81"/>
      <c r="AM30" s="138"/>
      <c r="AN30" s="161"/>
      <c r="AO30" s="143"/>
      <c r="AP30" s="144"/>
      <c r="AQ30" s="162"/>
      <c r="AR30" s="145"/>
      <c r="AS30" s="146"/>
      <c r="AT30" s="162"/>
      <c r="AU30" s="145"/>
      <c r="AV30" s="146"/>
      <c r="AW30" s="162"/>
      <c r="AX30" s="145"/>
      <c r="AY30" s="146"/>
      <c r="AZ30" s="161"/>
      <c r="BA30" s="161"/>
      <c r="BB30" s="161"/>
      <c r="BC30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0" s="145"/>
      <c r="BE30" s="145"/>
      <c r="BF30" s="145"/>
      <c r="BG30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0" s="31"/>
      <c r="BI30" s="31"/>
      <c r="BJ30" s="31"/>
      <c r="BK30" s="138"/>
      <c r="BL30" s="162"/>
      <c r="BM30" s="145"/>
      <c r="BN30" s="146"/>
      <c r="BO30" s="162"/>
      <c r="BP30" s="145"/>
      <c r="BQ30" s="146"/>
      <c r="BR30" s="162"/>
      <c r="BS30" s="145"/>
      <c r="BT30" s="146"/>
      <c r="BU30" s="162"/>
      <c r="BV30" s="145"/>
      <c r="BW30" s="146"/>
      <c r="BX30" s="162"/>
      <c r="BY30" s="162"/>
      <c r="BZ30" s="162"/>
      <c r="CA30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0" s="145"/>
      <c r="CC30" s="145"/>
      <c r="CD30" s="145"/>
      <c r="CE30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0" s="31"/>
      <c r="CG30" s="31"/>
      <c r="CH30" s="31"/>
      <c r="CI30" s="142"/>
      <c r="CJ30" s="162"/>
      <c r="CK30" s="145"/>
      <c r="CL30" s="146"/>
      <c r="CM30" s="162"/>
      <c r="CN30" s="145"/>
      <c r="CO30" s="146"/>
      <c r="CP30" s="162"/>
      <c r="CQ30" s="145"/>
      <c r="CR30" s="146"/>
      <c r="CS30" s="162"/>
      <c r="CT30" s="145"/>
      <c r="CU30" s="146"/>
      <c r="CV30" s="162"/>
      <c r="CW30" s="162"/>
      <c r="CX30" s="162"/>
      <c r="CY30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0" s="145"/>
      <c r="DA30" s="145"/>
      <c r="DB30" s="145"/>
      <c r="DC30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0" s="31"/>
      <c r="DE30" s="31"/>
      <c r="DF30" s="31"/>
      <c r="DG30" s="138"/>
      <c r="DH30" s="162"/>
      <c r="DI30" s="145"/>
      <c r="DJ30" s="146"/>
      <c r="DK30" s="162"/>
      <c r="DL30" s="145"/>
      <c r="DM30" s="146"/>
      <c r="DN30" s="162"/>
      <c r="DO30" s="145"/>
      <c r="DP30" s="146"/>
      <c r="DQ30" s="162"/>
      <c r="DR30" s="145"/>
      <c r="DS30" s="146"/>
      <c r="DT30" s="162"/>
      <c r="DU30" s="162"/>
      <c r="DV30" s="162"/>
      <c r="DW30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0" s="145"/>
      <c r="DY30" s="145"/>
      <c r="DZ30" s="145"/>
      <c r="EA30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0" s="31"/>
      <c r="EC30" s="31"/>
      <c r="ED30" s="31"/>
      <c r="EE30" s="31"/>
    </row>
    <row r="31" spans="1:138" x14ac:dyDescent="0.45">
      <c r="A31" s="141"/>
      <c r="B31" s="141"/>
      <c r="C31" s="141"/>
      <c r="D31" s="31"/>
      <c r="E31" s="141"/>
      <c r="F31" s="141"/>
      <c r="G31" s="155"/>
      <c r="H31" s="151"/>
      <c r="I31" s="154"/>
      <c r="J31" s="154"/>
      <c r="K31" s="154"/>
      <c r="L31" s="154"/>
      <c r="M31" s="169" t="str">
        <f t="shared" si="0"/>
        <v/>
      </c>
      <c r="N31" s="154"/>
      <c r="O31" s="154"/>
      <c r="P31" s="154"/>
      <c r="Q31" s="139"/>
      <c r="R31" s="139"/>
      <c r="S31" s="139"/>
      <c r="T31" s="139"/>
      <c r="U31" s="169" t="str">
        <f t="shared" si="1"/>
        <v/>
      </c>
      <c r="V31" s="139"/>
      <c r="W31" s="139"/>
      <c r="X31" s="139"/>
      <c r="Y31" s="152"/>
      <c r="Z31" s="153"/>
      <c r="AA31" s="155"/>
      <c r="AB31" s="159"/>
      <c r="AC31" s="156"/>
      <c r="AD31" s="157"/>
      <c r="AE31" s="158"/>
      <c r="AF31" s="148"/>
      <c r="AG31" s="149"/>
      <c r="AH31" s="150"/>
      <c r="AI31" s="143"/>
      <c r="AJ31" s="143"/>
      <c r="AK31" s="81"/>
      <c r="AL31" s="81"/>
      <c r="AM31" s="138"/>
      <c r="AN31" s="161"/>
      <c r="AO31" s="143"/>
      <c r="AP31" s="144"/>
      <c r="AQ31" s="162"/>
      <c r="AR31" s="145"/>
      <c r="AS31" s="146"/>
      <c r="AT31" s="162"/>
      <c r="AU31" s="145"/>
      <c r="AV31" s="146"/>
      <c r="AW31" s="162"/>
      <c r="AX31" s="145"/>
      <c r="AY31" s="146"/>
      <c r="AZ31" s="161"/>
      <c r="BA31" s="161"/>
      <c r="BB31" s="161"/>
      <c r="BC31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1" s="145"/>
      <c r="BE31" s="145"/>
      <c r="BF31" s="145"/>
      <c r="BG31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1" s="31"/>
      <c r="BI31" s="31"/>
      <c r="BJ31" s="31"/>
      <c r="BK31" s="138"/>
      <c r="BL31" s="162"/>
      <c r="BM31" s="145"/>
      <c r="BN31" s="146"/>
      <c r="BO31" s="162"/>
      <c r="BP31" s="145"/>
      <c r="BQ31" s="146"/>
      <c r="BR31" s="162"/>
      <c r="BS31" s="145"/>
      <c r="BT31" s="146"/>
      <c r="BU31" s="162"/>
      <c r="BV31" s="145"/>
      <c r="BW31" s="146"/>
      <c r="BX31" s="162"/>
      <c r="BY31" s="162"/>
      <c r="BZ31" s="162"/>
      <c r="CA31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1" s="145"/>
      <c r="CC31" s="145"/>
      <c r="CD31" s="145"/>
      <c r="CE31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1" s="31"/>
      <c r="CG31" s="31"/>
      <c r="CH31" s="31"/>
      <c r="CI31" s="142"/>
      <c r="CJ31" s="162"/>
      <c r="CK31" s="145"/>
      <c r="CL31" s="146"/>
      <c r="CM31" s="162"/>
      <c r="CN31" s="145"/>
      <c r="CO31" s="146"/>
      <c r="CP31" s="162"/>
      <c r="CQ31" s="145"/>
      <c r="CR31" s="146"/>
      <c r="CS31" s="162"/>
      <c r="CT31" s="145"/>
      <c r="CU31" s="146"/>
      <c r="CV31" s="162"/>
      <c r="CW31" s="162"/>
      <c r="CX31" s="162"/>
      <c r="CY31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1" s="145"/>
      <c r="DA31" s="145"/>
      <c r="DB31" s="145"/>
      <c r="DC31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1" s="31"/>
      <c r="DE31" s="31"/>
      <c r="DF31" s="31"/>
      <c r="DG31" s="138"/>
      <c r="DH31" s="162"/>
      <c r="DI31" s="145"/>
      <c r="DJ31" s="146"/>
      <c r="DK31" s="162"/>
      <c r="DL31" s="145"/>
      <c r="DM31" s="146"/>
      <c r="DN31" s="162"/>
      <c r="DO31" s="145"/>
      <c r="DP31" s="146"/>
      <c r="DQ31" s="162"/>
      <c r="DR31" s="145"/>
      <c r="DS31" s="146"/>
      <c r="DT31" s="162"/>
      <c r="DU31" s="162"/>
      <c r="DV31" s="162"/>
      <c r="DW31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1" s="145"/>
      <c r="DY31" s="145"/>
      <c r="DZ31" s="145"/>
      <c r="EA31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1" s="31"/>
      <c r="EC31" s="31"/>
      <c r="ED31" s="31"/>
      <c r="EE31" s="31"/>
    </row>
    <row r="32" spans="1:138" x14ac:dyDescent="0.45">
      <c r="A32" s="141"/>
      <c r="B32" s="141"/>
      <c r="C32" s="141"/>
      <c r="D32" s="31"/>
      <c r="E32" s="141"/>
      <c r="F32" s="141"/>
      <c r="G32" s="155"/>
      <c r="H32" s="151"/>
      <c r="I32" s="154"/>
      <c r="J32" s="154"/>
      <c r="K32" s="154"/>
      <c r="L32" s="154"/>
      <c r="M32" s="169" t="str">
        <f t="shared" si="0"/>
        <v/>
      </c>
      <c r="N32" s="154"/>
      <c r="O32" s="154"/>
      <c r="P32" s="154"/>
      <c r="Q32" s="139"/>
      <c r="R32" s="139"/>
      <c r="S32" s="139"/>
      <c r="T32" s="139"/>
      <c r="U32" s="169" t="str">
        <f t="shared" si="1"/>
        <v/>
      </c>
      <c r="V32" s="139"/>
      <c r="W32" s="139"/>
      <c r="X32" s="139"/>
      <c r="Y32" s="152"/>
      <c r="Z32" s="153"/>
      <c r="AA32" s="155"/>
      <c r="AB32" s="159"/>
      <c r="AC32" s="156"/>
      <c r="AD32" s="157"/>
      <c r="AE32" s="158"/>
      <c r="AF32" s="148"/>
      <c r="AG32" s="149"/>
      <c r="AH32" s="150"/>
      <c r="AI32" s="143"/>
      <c r="AJ32" s="143"/>
      <c r="AK32" s="81"/>
      <c r="AL32" s="81"/>
      <c r="AM32" s="138"/>
      <c r="AN32" s="161"/>
      <c r="AO32" s="143"/>
      <c r="AP32" s="144"/>
      <c r="AQ32" s="162"/>
      <c r="AR32" s="145"/>
      <c r="AS32" s="146"/>
      <c r="AT32" s="162"/>
      <c r="AU32" s="145"/>
      <c r="AV32" s="146"/>
      <c r="AW32" s="162"/>
      <c r="AX32" s="145"/>
      <c r="AY32" s="146"/>
      <c r="AZ32" s="161"/>
      <c r="BA32" s="161"/>
      <c r="BB32" s="161"/>
      <c r="BC32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2" s="145"/>
      <c r="BE32" s="145"/>
      <c r="BF32" s="145"/>
      <c r="BG32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2" s="31"/>
      <c r="BI32" s="31"/>
      <c r="BJ32" s="31"/>
      <c r="BK32" s="138"/>
      <c r="BL32" s="162"/>
      <c r="BM32" s="145"/>
      <c r="BN32" s="146"/>
      <c r="BO32" s="162"/>
      <c r="BP32" s="145"/>
      <c r="BQ32" s="146"/>
      <c r="BR32" s="162"/>
      <c r="BS32" s="145"/>
      <c r="BT32" s="146"/>
      <c r="BU32" s="162"/>
      <c r="BV32" s="145"/>
      <c r="BW32" s="146"/>
      <c r="BX32" s="162"/>
      <c r="BY32" s="162"/>
      <c r="BZ32" s="162"/>
      <c r="CA32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2" s="145"/>
      <c r="CC32" s="145"/>
      <c r="CD32" s="145"/>
      <c r="CE32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2" s="31"/>
      <c r="CG32" s="31"/>
      <c r="CH32" s="31"/>
      <c r="CI32" s="142"/>
      <c r="CJ32" s="162"/>
      <c r="CK32" s="145"/>
      <c r="CL32" s="146"/>
      <c r="CM32" s="162"/>
      <c r="CN32" s="145"/>
      <c r="CO32" s="146"/>
      <c r="CP32" s="162"/>
      <c r="CQ32" s="145"/>
      <c r="CR32" s="146"/>
      <c r="CS32" s="162"/>
      <c r="CT32" s="145"/>
      <c r="CU32" s="146"/>
      <c r="CV32" s="162"/>
      <c r="CW32" s="162"/>
      <c r="CX32" s="162"/>
      <c r="CY32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2" s="145"/>
      <c r="DA32" s="145"/>
      <c r="DB32" s="145"/>
      <c r="DC32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2" s="31"/>
      <c r="DE32" s="31"/>
      <c r="DF32" s="31"/>
      <c r="DG32" s="138"/>
      <c r="DH32" s="162"/>
      <c r="DI32" s="145"/>
      <c r="DJ32" s="146"/>
      <c r="DK32" s="162"/>
      <c r="DL32" s="145"/>
      <c r="DM32" s="146"/>
      <c r="DN32" s="162"/>
      <c r="DO32" s="145"/>
      <c r="DP32" s="146"/>
      <c r="DQ32" s="162"/>
      <c r="DR32" s="145"/>
      <c r="DS32" s="146"/>
      <c r="DT32" s="162"/>
      <c r="DU32" s="162"/>
      <c r="DV32" s="162"/>
      <c r="DW32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2" s="145"/>
      <c r="DY32" s="145"/>
      <c r="DZ32" s="145"/>
      <c r="EA32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2" s="31"/>
      <c r="EC32" s="31"/>
      <c r="ED32" s="31"/>
      <c r="EE32" s="31"/>
    </row>
    <row r="33" spans="1:135" x14ac:dyDescent="0.45">
      <c r="A33" s="141"/>
      <c r="B33" s="141"/>
      <c r="C33" s="141"/>
      <c r="D33" s="31"/>
      <c r="E33" s="141"/>
      <c r="F33" s="141"/>
      <c r="G33" s="155"/>
      <c r="H33" s="151"/>
      <c r="I33" s="154"/>
      <c r="J33" s="154"/>
      <c r="K33" s="154"/>
      <c r="L33" s="154"/>
      <c r="M33" s="169" t="str">
        <f t="shared" si="0"/>
        <v/>
      </c>
      <c r="N33" s="154"/>
      <c r="O33" s="154"/>
      <c r="P33" s="154"/>
      <c r="Q33" s="139"/>
      <c r="R33" s="139"/>
      <c r="S33" s="139"/>
      <c r="T33" s="139"/>
      <c r="U33" s="169" t="str">
        <f t="shared" si="1"/>
        <v/>
      </c>
      <c r="V33" s="139"/>
      <c r="W33" s="139"/>
      <c r="X33" s="139"/>
      <c r="Y33" s="152"/>
      <c r="Z33" s="153"/>
      <c r="AA33" s="155"/>
      <c r="AB33" s="159"/>
      <c r="AC33" s="156"/>
      <c r="AD33" s="157"/>
      <c r="AE33" s="158"/>
      <c r="AF33" s="148"/>
      <c r="AG33" s="149"/>
      <c r="AH33" s="150"/>
      <c r="AI33" s="143"/>
      <c r="AJ33" s="143"/>
      <c r="AK33" s="81"/>
      <c r="AL33" s="81"/>
      <c r="AM33" s="138"/>
      <c r="AN33" s="161"/>
      <c r="AO33" s="143"/>
      <c r="AP33" s="144"/>
      <c r="AQ33" s="162"/>
      <c r="AR33" s="145"/>
      <c r="AS33" s="146"/>
      <c r="AT33" s="162"/>
      <c r="AU33" s="145"/>
      <c r="AV33" s="146"/>
      <c r="AW33" s="162"/>
      <c r="AX33" s="145"/>
      <c r="AY33" s="146"/>
      <c r="AZ33" s="161"/>
      <c r="BA33" s="161"/>
      <c r="BB33" s="161"/>
      <c r="BC33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3" s="145"/>
      <c r="BE33" s="145"/>
      <c r="BF33" s="145"/>
      <c r="BG33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3" s="31"/>
      <c r="BI33" s="31"/>
      <c r="BJ33" s="31"/>
      <c r="BK33" s="138"/>
      <c r="BL33" s="162"/>
      <c r="BM33" s="145"/>
      <c r="BN33" s="146"/>
      <c r="BO33" s="162"/>
      <c r="BP33" s="145"/>
      <c r="BQ33" s="146"/>
      <c r="BR33" s="162"/>
      <c r="BS33" s="145"/>
      <c r="BT33" s="146"/>
      <c r="BU33" s="162"/>
      <c r="BV33" s="145"/>
      <c r="BW33" s="146"/>
      <c r="BX33" s="162"/>
      <c r="BY33" s="162"/>
      <c r="BZ33" s="162"/>
      <c r="CA33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3" s="145"/>
      <c r="CC33" s="145"/>
      <c r="CD33" s="145"/>
      <c r="CE33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3" s="31"/>
      <c r="CG33" s="31"/>
      <c r="CH33" s="31"/>
      <c r="CI33" s="142"/>
      <c r="CJ33" s="162"/>
      <c r="CK33" s="145"/>
      <c r="CL33" s="146"/>
      <c r="CM33" s="162"/>
      <c r="CN33" s="145"/>
      <c r="CO33" s="146"/>
      <c r="CP33" s="162"/>
      <c r="CQ33" s="145"/>
      <c r="CR33" s="146"/>
      <c r="CS33" s="162"/>
      <c r="CT33" s="145"/>
      <c r="CU33" s="146"/>
      <c r="CV33" s="162"/>
      <c r="CW33" s="162"/>
      <c r="CX33" s="162"/>
      <c r="CY33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3" s="145"/>
      <c r="DA33" s="145"/>
      <c r="DB33" s="145"/>
      <c r="DC33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3" s="31"/>
      <c r="DE33" s="31"/>
      <c r="DF33" s="31"/>
      <c r="DG33" s="138"/>
      <c r="DH33" s="162"/>
      <c r="DI33" s="145"/>
      <c r="DJ33" s="146"/>
      <c r="DK33" s="162"/>
      <c r="DL33" s="145"/>
      <c r="DM33" s="146"/>
      <c r="DN33" s="162"/>
      <c r="DO33" s="145"/>
      <c r="DP33" s="146"/>
      <c r="DQ33" s="162"/>
      <c r="DR33" s="145"/>
      <c r="DS33" s="146"/>
      <c r="DT33" s="162"/>
      <c r="DU33" s="162"/>
      <c r="DV33" s="162"/>
      <c r="DW33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3" s="145"/>
      <c r="DY33" s="145"/>
      <c r="DZ33" s="145"/>
      <c r="EA33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3" s="31"/>
      <c r="EC33" s="31"/>
      <c r="ED33" s="31"/>
      <c r="EE33" s="31"/>
    </row>
    <row r="34" spans="1:135" x14ac:dyDescent="0.45">
      <c r="A34" s="141"/>
      <c r="B34" s="141"/>
      <c r="C34" s="141"/>
      <c r="D34" s="31"/>
      <c r="E34" s="141"/>
      <c r="F34" s="141"/>
      <c r="G34" s="155"/>
      <c r="H34" s="151"/>
      <c r="I34" s="154"/>
      <c r="J34" s="154"/>
      <c r="K34" s="154"/>
      <c r="L34" s="154"/>
      <c r="M34" s="169" t="str">
        <f t="shared" si="0"/>
        <v/>
      </c>
      <c r="N34" s="154"/>
      <c r="O34" s="154"/>
      <c r="P34" s="154"/>
      <c r="Q34" s="139"/>
      <c r="R34" s="139"/>
      <c r="S34" s="139"/>
      <c r="T34" s="139"/>
      <c r="U34" s="169" t="str">
        <f t="shared" si="1"/>
        <v/>
      </c>
      <c r="V34" s="139"/>
      <c r="W34" s="139"/>
      <c r="X34" s="139"/>
      <c r="Y34" s="152"/>
      <c r="Z34" s="153"/>
      <c r="AA34" s="155"/>
      <c r="AB34" s="159"/>
      <c r="AC34" s="156"/>
      <c r="AD34" s="157"/>
      <c r="AE34" s="158"/>
      <c r="AF34" s="148"/>
      <c r="AG34" s="149"/>
      <c r="AH34" s="150"/>
      <c r="AI34" s="143"/>
      <c r="AJ34" s="143"/>
      <c r="AK34" s="81"/>
      <c r="AL34" s="81"/>
      <c r="AM34" s="138"/>
      <c r="AN34" s="161"/>
      <c r="AO34" s="143"/>
      <c r="AP34" s="144"/>
      <c r="AQ34" s="162"/>
      <c r="AR34" s="145"/>
      <c r="AS34" s="146"/>
      <c r="AT34" s="162"/>
      <c r="AU34" s="145"/>
      <c r="AV34" s="146"/>
      <c r="AW34" s="162"/>
      <c r="AX34" s="145"/>
      <c r="AY34" s="146"/>
      <c r="AZ34" s="161"/>
      <c r="BA34" s="161"/>
      <c r="BB34" s="161"/>
      <c r="BC34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4" s="145"/>
      <c r="BE34" s="145"/>
      <c r="BF34" s="145"/>
      <c r="BG34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4" s="31"/>
      <c r="BI34" s="31"/>
      <c r="BJ34" s="31"/>
      <c r="BK34" s="138"/>
      <c r="BL34" s="162"/>
      <c r="BM34" s="145"/>
      <c r="BN34" s="146"/>
      <c r="BO34" s="162"/>
      <c r="BP34" s="145"/>
      <c r="BQ34" s="146"/>
      <c r="BR34" s="162"/>
      <c r="BS34" s="145"/>
      <c r="BT34" s="146"/>
      <c r="BU34" s="162"/>
      <c r="BV34" s="145"/>
      <c r="BW34" s="146"/>
      <c r="BX34" s="162"/>
      <c r="BY34" s="162"/>
      <c r="BZ34" s="162"/>
      <c r="CA34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4" s="145"/>
      <c r="CC34" s="145"/>
      <c r="CD34" s="145"/>
      <c r="CE34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4" s="31"/>
      <c r="CG34" s="31"/>
      <c r="CH34" s="31"/>
      <c r="CI34" s="142"/>
      <c r="CJ34" s="162"/>
      <c r="CK34" s="145"/>
      <c r="CL34" s="146"/>
      <c r="CM34" s="162"/>
      <c r="CN34" s="145"/>
      <c r="CO34" s="146"/>
      <c r="CP34" s="162"/>
      <c r="CQ34" s="145"/>
      <c r="CR34" s="146"/>
      <c r="CS34" s="162"/>
      <c r="CT34" s="145"/>
      <c r="CU34" s="146"/>
      <c r="CV34" s="162"/>
      <c r="CW34" s="162"/>
      <c r="CX34" s="162"/>
      <c r="CY34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4" s="145"/>
      <c r="DA34" s="145"/>
      <c r="DB34" s="145"/>
      <c r="DC34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4" s="31"/>
      <c r="DE34" s="31"/>
      <c r="DF34" s="31"/>
      <c r="DG34" s="138"/>
      <c r="DH34" s="162"/>
      <c r="DI34" s="145"/>
      <c r="DJ34" s="146"/>
      <c r="DK34" s="162"/>
      <c r="DL34" s="145"/>
      <c r="DM34" s="146"/>
      <c r="DN34" s="162"/>
      <c r="DO34" s="145"/>
      <c r="DP34" s="146"/>
      <c r="DQ34" s="162"/>
      <c r="DR34" s="145"/>
      <c r="DS34" s="146"/>
      <c r="DT34" s="162"/>
      <c r="DU34" s="162"/>
      <c r="DV34" s="162"/>
      <c r="DW34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4" s="145"/>
      <c r="DY34" s="145"/>
      <c r="DZ34" s="145"/>
      <c r="EA34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4" s="31"/>
      <c r="EC34" s="31"/>
      <c r="ED34" s="31"/>
      <c r="EE34" s="31"/>
    </row>
    <row r="35" spans="1:135" x14ac:dyDescent="0.45">
      <c r="A35" s="141"/>
      <c r="B35" s="141"/>
      <c r="C35" s="141"/>
      <c r="D35" s="31"/>
      <c r="E35" s="141"/>
      <c r="F35" s="141"/>
      <c r="G35" s="155"/>
      <c r="H35" s="151"/>
      <c r="I35" s="154"/>
      <c r="J35" s="154"/>
      <c r="K35" s="154"/>
      <c r="L35" s="154"/>
      <c r="M35" s="169" t="str">
        <f t="shared" si="0"/>
        <v/>
      </c>
      <c r="N35" s="154"/>
      <c r="O35" s="154"/>
      <c r="P35" s="154"/>
      <c r="Q35" s="139"/>
      <c r="R35" s="139"/>
      <c r="S35" s="139"/>
      <c r="T35" s="139"/>
      <c r="U35" s="169" t="str">
        <f t="shared" si="1"/>
        <v/>
      </c>
      <c r="V35" s="139"/>
      <c r="W35" s="139"/>
      <c r="X35" s="139"/>
      <c r="Y35" s="152"/>
      <c r="Z35" s="153"/>
      <c r="AA35" s="155"/>
      <c r="AB35" s="159"/>
      <c r="AC35" s="156"/>
      <c r="AD35" s="157"/>
      <c r="AE35" s="158"/>
      <c r="AF35" s="148"/>
      <c r="AG35" s="149"/>
      <c r="AH35" s="150"/>
      <c r="AI35" s="143"/>
      <c r="AJ35" s="143"/>
      <c r="AK35" s="81"/>
      <c r="AL35" s="81"/>
      <c r="AM35" s="138"/>
      <c r="AN35" s="161"/>
      <c r="AO35" s="143"/>
      <c r="AP35" s="144"/>
      <c r="AQ35" s="162"/>
      <c r="AR35" s="145"/>
      <c r="AS35" s="146"/>
      <c r="AT35" s="162"/>
      <c r="AU35" s="145"/>
      <c r="AV35" s="146"/>
      <c r="AW35" s="162"/>
      <c r="AX35" s="145"/>
      <c r="AY35" s="146"/>
      <c r="AZ35" s="161"/>
      <c r="BA35" s="161"/>
      <c r="BB35" s="161"/>
      <c r="BC35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5" s="145"/>
      <c r="BE35" s="145"/>
      <c r="BF35" s="145"/>
      <c r="BG35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5" s="31"/>
      <c r="BI35" s="31"/>
      <c r="BJ35" s="31"/>
      <c r="BK35" s="138"/>
      <c r="BL35" s="162"/>
      <c r="BM35" s="145"/>
      <c r="BN35" s="146"/>
      <c r="BO35" s="162"/>
      <c r="BP35" s="145"/>
      <c r="BQ35" s="146"/>
      <c r="BR35" s="162"/>
      <c r="BS35" s="145"/>
      <c r="BT35" s="146"/>
      <c r="BU35" s="162"/>
      <c r="BV35" s="145"/>
      <c r="BW35" s="146"/>
      <c r="BX35" s="162"/>
      <c r="BY35" s="162"/>
      <c r="BZ35" s="162"/>
      <c r="CA35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5" s="145"/>
      <c r="CC35" s="145"/>
      <c r="CD35" s="145"/>
      <c r="CE35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5" s="31"/>
      <c r="CG35" s="31"/>
      <c r="CH35" s="31"/>
      <c r="CI35" s="142"/>
      <c r="CJ35" s="162"/>
      <c r="CK35" s="145"/>
      <c r="CL35" s="146"/>
      <c r="CM35" s="162"/>
      <c r="CN35" s="145"/>
      <c r="CO35" s="146"/>
      <c r="CP35" s="162"/>
      <c r="CQ35" s="145"/>
      <c r="CR35" s="146"/>
      <c r="CS35" s="162"/>
      <c r="CT35" s="145"/>
      <c r="CU35" s="146"/>
      <c r="CV35" s="162"/>
      <c r="CW35" s="162"/>
      <c r="CX35" s="162"/>
      <c r="CY35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5" s="145"/>
      <c r="DA35" s="145"/>
      <c r="DB35" s="145"/>
      <c r="DC35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5" s="31"/>
      <c r="DE35" s="31"/>
      <c r="DF35" s="31"/>
      <c r="DG35" s="138"/>
      <c r="DH35" s="162"/>
      <c r="DI35" s="145"/>
      <c r="DJ35" s="146"/>
      <c r="DK35" s="162"/>
      <c r="DL35" s="145"/>
      <c r="DM35" s="146"/>
      <c r="DN35" s="162"/>
      <c r="DO35" s="145"/>
      <c r="DP35" s="146"/>
      <c r="DQ35" s="162"/>
      <c r="DR35" s="145"/>
      <c r="DS35" s="146"/>
      <c r="DT35" s="162"/>
      <c r="DU35" s="162"/>
      <c r="DV35" s="162"/>
      <c r="DW35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5" s="145"/>
      <c r="DY35" s="145"/>
      <c r="DZ35" s="145"/>
      <c r="EA35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5" s="31"/>
      <c r="EC35" s="31"/>
      <c r="ED35" s="31"/>
      <c r="EE35" s="31"/>
    </row>
    <row r="36" spans="1:135" x14ac:dyDescent="0.45">
      <c r="A36" s="141"/>
      <c r="B36" s="141"/>
      <c r="C36" s="141"/>
      <c r="D36" s="31"/>
      <c r="E36" s="141"/>
      <c r="F36" s="141"/>
      <c r="G36" s="155"/>
      <c r="H36" s="151"/>
      <c r="I36" s="154"/>
      <c r="J36" s="154"/>
      <c r="K36" s="154"/>
      <c r="L36" s="154"/>
      <c r="M36" s="169" t="str">
        <f t="shared" si="0"/>
        <v/>
      </c>
      <c r="N36" s="154"/>
      <c r="O36" s="154"/>
      <c r="P36" s="154"/>
      <c r="Q36" s="139"/>
      <c r="R36" s="139"/>
      <c r="S36" s="139"/>
      <c r="T36" s="139"/>
      <c r="U36" s="169" t="str">
        <f t="shared" si="1"/>
        <v/>
      </c>
      <c r="V36" s="139"/>
      <c r="W36" s="139"/>
      <c r="X36" s="139"/>
      <c r="Y36" s="152"/>
      <c r="Z36" s="153"/>
      <c r="AA36" s="155"/>
      <c r="AB36" s="159"/>
      <c r="AC36" s="156"/>
      <c r="AD36" s="157"/>
      <c r="AE36" s="158"/>
      <c r="AF36" s="148"/>
      <c r="AG36" s="149"/>
      <c r="AH36" s="150"/>
      <c r="AI36" s="143"/>
      <c r="AJ36" s="143"/>
      <c r="AK36" s="81"/>
      <c r="AL36" s="81"/>
      <c r="AM36" s="138"/>
      <c r="AN36" s="161"/>
      <c r="AO36" s="143"/>
      <c r="AP36" s="144"/>
      <c r="AQ36" s="162"/>
      <c r="AR36" s="145"/>
      <c r="AS36" s="146"/>
      <c r="AT36" s="162"/>
      <c r="AU36" s="145"/>
      <c r="AV36" s="146"/>
      <c r="AW36" s="162"/>
      <c r="AX36" s="145"/>
      <c r="AY36" s="146"/>
      <c r="AZ36" s="161"/>
      <c r="BA36" s="161"/>
      <c r="BB36" s="161"/>
      <c r="BC36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6" s="145"/>
      <c r="BE36" s="145"/>
      <c r="BF36" s="145"/>
      <c r="BG36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6" s="31"/>
      <c r="BI36" s="31"/>
      <c r="BJ36" s="31"/>
      <c r="BK36" s="138"/>
      <c r="BL36" s="162"/>
      <c r="BM36" s="145"/>
      <c r="BN36" s="146"/>
      <c r="BO36" s="162"/>
      <c r="BP36" s="145"/>
      <c r="BQ36" s="146"/>
      <c r="BR36" s="162"/>
      <c r="BS36" s="145"/>
      <c r="BT36" s="146"/>
      <c r="BU36" s="162"/>
      <c r="BV36" s="145"/>
      <c r="BW36" s="146"/>
      <c r="BX36" s="162"/>
      <c r="BY36" s="162"/>
      <c r="BZ36" s="162"/>
      <c r="CA36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6" s="145"/>
      <c r="CC36" s="145"/>
      <c r="CD36" s="145"/>
      <c r="CE36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6" s="31"/>
      <c r="CG36" s="31"/>
      <c r="CH36" s="31"/>
      <c r="CI36" s="142"/>
      <c r="CJ36" s="162"/>
      <c r="CK36" s="145"/>
      <c r="CL36" s="146"/>
      <c r="CM36" s="162"/>
      <c r="CN36" s="145"/>
      <c r="CO36" s="146"/>
      <c r="CP36" s="162"/>
      <c r="CQ36" s="145"/>
      <c r="CR36" s="146"/>
      <c r="CS36" s="162"/>
      <c r="CT36" s="145"/>
      <c r="CU36" s="146"/>
      <c r="CV36" s="162"/>
      <c r="CW36" s="162"/>
      <c r="CX36" s="162"/>
      <c r="CY36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6" s="145"/>
      <c r="DA36" s="145"/>
      <c r="DB36" s="145"/>
      <c r="DC36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6" s="31"/>
      <c r="DE36" s="31"/>
      <c r="DF36" s="31"/>
      <c r="DG36" s="138"/>
      <c r="DH36" s="162"/>
      <c r="DI36" s="145"/>
      <c r="DJ36" s="146"/>
      <c r="DK36" s="162"/>
      <c r="DL36" s="145"/>
      <c r="DM36" s="146"/>
      <c r="DN36" s="162"/>
      <c r="DO36" s="145"/>
      <c r="DP36" s="146"/>
      <c r="DQ36" s="162"/>
      <c r="DR36" s="145"/>
      <c r="DS36" s="146"/>
      <c r="DT36" s="162"/>
      <c r="DU36" s="162"/>
      <c r="DV36" s="162"/>
      <c r="DW36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6" s="145"/>
      <c r="DY36" s="145"/>
      <c r="DZ36" s="145"/>
      <c r="EA36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6" s="31"/>
      <c r="EC36" s="31"/>
      <c r="ED36" s="31"/>
      <c r="EE36" s="31"/>
    </row>
    <row r="37" spans="1:135" x14ac:dyDescent="0.45">
      <c r="A37" s="141"/>
      <c r="B37" s="141"/>
      <c r="C37" s="141"/>
      <c r="D37" s="31"/>
      <c r="E37" s="141"/>
      <c r="F37" s="141"/>
      <c r="G37" s="155"/>
      <c r="H37" s="151"/>
      <c r="I37" s="154"/>
      <c r="J37" s="154"/>
      <c r="K37" s="154"/>
      <c r="L37" s="154"/>
      <c r="M37" s="169" t="str">
        <f t="shared" si="0"/>
        <v/>
      </c>
      <c r="N37" s="154"/>
      <c r="O37" s="154"/>
      <c r="P37" s="154"/>
      <c r="Q37" s="139"/>
      <c r="R37" s="139"/>
      <c r="S37" s="139"/>
      <c r="T37" s="139"/>
      <c r="U37" s="169" t="str">
        <f t="shared" si="1"/>
        <v/>
      </c>
      <c r="V37" s="139"/>
      <c r="W37" s="139"/>
      <c r="X37" s="139"/>
      <c r="Y37" s="152"/>
      <c r="Z37" s="153"/>
      <c r="AA37" s="155"/>
      <c r="AB37" s="159"/>
      <c r="AC37" s="156"/>
      <c r="AD37" s="157"/>
      <c r="AE37" s="158"/>
      <c r="AF37" s="148"/>
      <c r="AG37" s="149"/>
      <c r="AH37" s="150"/>
      <c r="AI37" s="143"/>
      <c r="AJ37" s="143"/>
      <c r="AK37" s="81"/>
      <c r="AL37" s="81"/>
      <c r="AM37" s="138"/>
      <c r="AN37" s="161"/>
      <c r="AO37" s="143"/>
      <c r="AP37" s="144"/>
      <c r="AQ37" s="162"/>
      <c r="AR37" s="145"/>
      <c r="AS37" s="146"/>
      <c r="AT37" s="162"/>
      <c r="AU37" s="145"/>
      <c r="AV37" s="146"/>
      <c r="AW37" s="162"/>
      <c r="AX37" s="145"/>
      <c r="AY37" s="146"/>
      <c r="AZ37" s="161"/>
      <c r="BA37" s="161"/>
      <c r="BB37" s="161"/>
      <c r="BC37" s="168" t="str">
        <f>IF(AND(Data4[[#This Row],[Refractive sphere
OD eye]]="",Data4[[#This Row],[Refractive  cylinder
OD eye]]="")= TRUE,"",Data4[[#This Row],[Refractive sphere
OD eye]]+(Data4[[#This Row],[Refractive  cylinder
OD eye]]/2))</f>
        <v/>
      </c>
      <c r="BD37" s="145"/>
      <c r="BE37" s="145"/>
      <c r="BF37" s="145"/>
      <c r="BG37" s="168" t="str">
        <f>IF(AND(Data4[[#This Row],[Refractive sphere
OS eye]]="",Data4[[#This Row],[Refractive cylinder
OS eye]]="")=TRUE,"",Data4[[#This Row],[Refractive sphere
OS eye]]+(Data4[[#This Row],[Refractive cylinder
OS eye]]/2))</f>
        <v/>
      </c>
      <c r="BH37" s="31"/>
      <c r="BI37" s="31"/>
      <c r="BJ37" s="31"/>
      <c r="BK37" s="138"/>
      <c r="BL37" s="162"/>
      <c r="BM37" s="145"/>
      <c r="BN37" s="146"/>
      <c r="BO37" s="162"/>
      <c r="BP37" s="145"/>
      <c r="BQ37" s="146"/>
      <c r="BR37" s="162"/>
      <c r="BS37" s="145"/>
      <c r="BT37" s="146"/>
      <c r="BU37" s="162"/>
      <c r="BV37" s="145"/>
      <c r="BW37" s="146"/>
      <c r="BX37" s="162"/>
      <c r="BY37" s="162"/>
      <c r="BZ37" s="162"/>
      <c r="CA37" s="17" t="str">
        <f>IF(AND(Data4[[#This Row],[Refractive sphere
OD eye14]]="",Data4[[#This Row],[Refractive  cylinder
OD eye15]]="")=TRUE,"",Data4[[#This Row],[Refractive sphere
OD eye]]+(Data4[[#This Row],[Refractive  cylinder
OD eye]]/2))</f>
        <v/>
      </c>
      <c r="CB37" s="145"/>
      <c r="CC37" s="145"/>
      <c r="CD37" s="145"/>
      <c r="CE37" s="17" t="str">
        <f>IF(AND(Data4[[#This Row],[Refractive sphere
OS eye18]]="",Data4[[#This Row],[Refractive cylinder
OS eye19]]="")=TRUE,"",Data4[[#This Row],[Refractive sphere
OS eye]]+(Data4[[#This Row],[Refractive cylinder
OS eye]]/2))</f>
        <v/>
      </c>
      <c r="CF37" s="31"/>
      <c r="CG37" s="31"/>
      <c r="CH37" s="31"/>
      <c r="CI37" s="142"/>
      <c r="CJ37" s="162"/>
      <c r="CK37" s="145"/>
      <c r="CL37" s="146"/>
      <c r="CM37" s="162"/>
      <c r="CN37" s="145"/>
      <c r="CO37" s="146"/>
      <c r="CP37" s="162"/>
      <c r="CQ37" s="145"/>
      <c r="CR37" s="146"/>
      <c r="CS37" s="162"/>
      <c r="CT37" s="145"/>
      <c r="CU37" s="146"/>
      <c r="CV37" s="162"/>
      <c r="CW37" s="162"/>
      <c r="CX37" s="162"/>
      <c r="CY37" s="17" t="str">
        <f>IF(AND(Data4[[#This Row],[Refractive sphere
OS eye19]]="",Data4[[#This Row],[Refractive cylinder
OS eye20]]="")=TRUE,"",Data4[[#This Row],[Refractive sphere
OD eye]]+(Data4[[#This Row],[Refractive  cylinder
OD eye]]/2))</f>
        <v/>
      </c>
      <c r="CZ37" s="145"/>
      <c r="DA37" s="145"/>
      <c r="DB37" s="145"/>
      <c r="DC37" s="17" t="str">
        <f>IF(AND(Data4[[#This Row],[Refractive sphere
OS eye19]]="",Data4[[#This Row],[Refractive cylinder
OS eye20]]="")=TRUE,"",Data4[[#This Row],[Refractive sphere
OS eye]]+(Data4[[#This Row],[Refractive cylinder
OS eye]]/2))</f>
        <v/>
      </c>
      <c r="DD37" s="31"/>
      <c r="DE37" s="31"/>
      <c r="DF37" s="31"/>
      <c r="DG37" s="138"/>
      <c r="DH37" s="162"/>
      <c r="DI37" s="145"/>
      <c r="DJ37" s="146"/>
      <c r="DK37" s="162"/>
      <c r="DL37" s="145"/>
      <c r="DM37" s="146"/>
      <c r="DN37" s="162"/>
      <c r="DO37" s="145"/>
      <c r="DP37" s="146"/>
      <c r="DQ37" s="162"/>
      <c r="DR37" s="145"/>
      <c r="DS37" s="146"/>
      <c r="DT37" s="162"/>
      <c r="DU37" s="162"/>
      <c r="DV37" s="162"/>
      <c r="DW37" s="168" t="str">
        <f>IF(AND(Data4[[#This Row],[Refractive sphere
OD eye1515]]="",Data4[[#This Row],[Refractive  cylinder
OD eye1616]]="")=TRUE,"",Data4[[#This Row],[Refractive sphere
OD eye1515]]+(Data4[[#This Row],[Refractive  cylinder
OD eye1616]]/2))</f>
        <v/>
      </c>
      <c r="DX37" s="145"/>
      <c r="DY37" s="145"/>
      <c r="DZ37" s="145"/>
      <c r="EA37" s="168" t="str">
        <f>IF(AND(Data4[[#This Row],[Refractive sphere
OS eye1919]]="",Data4[[#This Row],[Refractive cylinder
OS eye2020]]="")=TRUE,"",Data4[[#This Row],[Refractive sphere
OS eye1919]]+(Data4[[#This Row],[Refractive cylinder
OS eye2020]]/2))</f>
        <v/>
      </c>
      <c r="EB37" s="31"/>
      <c r="EC37" s="31"/>
      <c r="ED37" s="31"/>
      <c r="EE37" s="31"/>
    </row>
    <row r="38" spans="1:135" x14ac:dyDescent="0.45">
      <c r="AD38" s="73"/>
      <c r="AE38" s="73"/>
      <c r="AF38" s="73"/>
      <c r="AG38" s="73"/>
      <c r="AH38" s="73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</sheetData>
  <sheetProtection selectLockedCells="1"/>
  <phoneticPr fontId="1" type="noConversion"/>
  <conditionalFormatting sqref="I28:J37">
    <cfRule type="cellIs" dxfId="8" priority="4" operator="equal">
      <formula>"OD"</formula>
    </cfRule>
    <cfRule type="cellIs" dxfId="7" priority="5" operator="equal">
      <formula>"OS"</formula>
    </cfRule>
    <cfRule type="cellIs" dxfId="6" priority="6" operator="equal">
      <formula>"OU"</formula>
    </cfRule>
  </conditionalFormatting>
  <conditionalFormatting sqref="Q28:R37">
    <cfRule type="cellIs" dxfId="5" priority="1" operator="equal">
      <formula>"OD"</formula>
    </cfRule>
    <cfRule type="cellIs" dxfId="4" priority="2" operator="equal">
      <formula>"OS"</formula>
    </cfRule>
    <cfRule type="cellIs" dxfId="3" priority="3" operator="equal">
      <formula>"OU"</formula>
    </cfRule>
  </conditionalFormatting>
  <hyperlinks>
    <hyperlink ref="C1" location="'Envy Experience Tracker '!AN5" display="Postop week 1" xr:uid="{9FAABEDC-025E-4EFE-A99F-F890B2996C1B}"/>
    <hyperlink ref="A2" location="'Envy Experience Tracker '!O5" display="Preoperative " xr:uid="{CA65062D-6746-4979-A551-09975EE12CC2}"/>
    <hyperlink ref="A3" location="'Envy Experience Tracker '!AB5" display="Operative" xr:uid="{AA2B3B44-76F0-480F-863E-BA4250A71E2D}"/>
    <hyperlink ref="A1" location="'Envy Experience Tracker '!E5" display="Demographics" xr:uid="{6657CF08-87BF-44C8-9B11-8B55531DF4CE}"/>
    <hyperlink ref="C2" location="'Envy Experience Tracker '!BN5" display="Postop Month 1" xr:uid="{D79499EE-531B-4AEE-A08B-1DF857DF921E}"/>
    <hyperlink ref="C3" location="'Envy Experience Tracker '!CN5" display="Postop Month 3" xr:uid="{4E59CC15-F3E1-4625-A070-BE6281B73183}"/>
    <hyperlink ref="C4" location="'Envy Experience Tracker '!DN5" display="Postop Month 6" xr:uid="{AE915541-FDCF-4444-A963-A72B915CCC41}"/>
  </hyperlinks>
  <pageMargins left="0" right="0" top="0.25" bottom="0.25" header="0.3" footer="0.3"/>
  <pageSetup scale="72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F243AAB-1516-48BF-AB1C-81834FBE77B6}">
          <x14:formula1>
            <xm:f>Parameters!$E$2:$E$3</xm:f>
          </x14:formula1>
          <xm:sqref>EE7:EE37</xm:sqref>
        </x14:dataValidation>
        <x14:dataValidation type="list" allowBlank="1" showInputMessage="1" showErrorMessage="1" xr:uid="{575F1477-BBE9-49E6-95E3-4115D9F481CB}">
          <x14:formula1>
            <xm:f>Parameters!$B$2:$B$16</xm:f>
          </x14:formula1>
          <xm:sqref>CJ7:CR37 BL7:BT37 AN7:AV37 DH7:DP37</xm:sqref>
        </x14:dataValidation>
        <x14:dataValidation type="list" allowBlank="1" showInputMessage="1" showErrorMessage="1" xr:uid="{F41DF051-213E-4F48-BD21-69E29EAB6209}">
          <x14:formula1>
            <xm:f>Sheet2!$I$2:$I$3</xm:f>
          </x14:formula1>
          <xm:sqref>D7:D37</xm:sqref>
        </x14:dataValidation>
        <x14:dataValidation type="list" allowBlank="1" showInputMessage="1" showErrorMessage="1" xr:uid="{B2D5AF4F-1E77-4E4B-8205-9BEEF5F6D7CE}">
          <x14:formula1>
            <xm:f>Parameters!$F$4:$F$8</xm:f>
          </x14:formula1>
          <xm:sqref>AB7:AC37</xm:sqref>
        </x14:dataValidation>
        <x14:dataValidation type="list" allowBlank="1" showInputMessage="1" showErrorMessage="1" xr:uid="{D17B0DC9-BE0C-4DAD-9B2E-2BF45974F021}">
          <x14:formula1>
            <xm:f>Parameters!$F$2:$F$10</xm:f>
          </x14:formula1>
          <xm:sqref>Z7:Z37 AG7:AG37</xm:sqref>
        </x14:dataValidation>
        <x14:dataValidation type="list" allowBlank="1" showInputMessage="1" showErrorMessage="1" xr:uid="{BEC4F1F7-BB4A-41B7-AE59-74B5DCEEF475}">
          <x14:formula1>
            <xm:f>Parameters!$C$2:$C$9</xm:f>
          </x14:formula1>
          <xm:sqref>AW7:AY37 BU7:BW37 CS7:CU37 DQ7:DS37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F91B-82C1-4D4E-A857-A0727A1DFF33}">
  <sheetPr codeName="Sheet6">
    <outlinePr showOutlineSymbols="0"/>
    <pageSetUpPr fitToPage="1"/>
  </sheetPr>
  <dimension ref="A1:S39"/>
  <sheetViews>
    <sheetView showGridLines="0" showOutlineSymbols="0" topLeftCell="D1" workbookViewId="0">
      <pane ySplit="6" topLeftCell="A7" activePane="bottomLeft" state="frozen"/>
      <selection activeCell="D1" sqref="D1"/>
      <selection pane="bottomLeft" activeCell="R37" sqref="R37"/>
    </sheetView>
  </sheetViews>
  <sheetFormatPr baseColWidth="10" defaultColWidth="0" defaultRowHeight="16" outlineLevelCol="1" x14ac:dyDescent="0.45"/>
  <cols>
    <col min="1" max="1" width="8.54296875" style="57" hidden="1" customWidth="1" outlineLevel="1"/>
    <col min="2" max="2" width="2.453125" style="5" hidden="1" customWidth="1" collapsed="1"/>
    <col min="3" max="3" width="1.54296875" style="5" hidden="1" customWidth="1"/>
    <col min="4" max="4" width="3.54296875" style="3" customWidth="1"/>
    <col min="5" max="5" width="17.54296875" style="20" customWidth="1"/>
    <col min="6" max="6" width="13.54296875" style="3" customWidth="1"/>
    <col min="7" max="7" width="9.81640625" style="4" customWidth="1"/>
    <col min="8" max="8" width="12" style="2" customWidth="1"/>
    <col min="9" max="9" width="8" style="2" bestFit="1" customWidth="1"/>
    <col min="10" max="13" width="7.453125" style="2" customWidth="1"/>
    <col min="14" max="14" width="7.453125" style="2" bestFit="1" customWidth="1"/>
    <col min="15" max="15" width="11.453125" style="2" customWidth="1"/>
    <col min="16" max="16" width="8.54296875" style="5" bestFit="1" customWidth="1"/>
    <col min="17" max="17" width="1.453125" style="5" customWidth="1"/>
    <col min="18" max="18" width="60.453125" style="5" bestFit="1" customWidth="1"/>
    <col min="19" max="19" width="2" style="5" customWidth="1"/>
    <col min="20" max="16384" width="9.1796875" style="5" hidden="1"/>
  </cols>
  <sheetData>
    <row r="1" spans="1:18" ht="5.25" customHeight="1" x14ac:dyDescent="0.45"/>
    <row r="2" spans="1:18" x14ac:dyDescent="0.45">
      <c r="R2" s="204" t="s">
        <v>158</v>
      </c>
    </row>
    <row r="3" spans="1:18" x14ac:dyDescent="0.45">
      <c r="R3" s="204"/>
    </row>
    <row r="4" spans="1:18" x14ac:dyDescent="0.45">
      <c r="R4" s="204"/>
    </row>
    <row r="5" spans="1:18" ht="16.5" thickBot="1" x14ac:dyDescent="0.5">
      <c r="G5" s="6"/>
      <c r="R5" s="204"/>
    </row>
    <row r="6" spans="1:18" s="13" customFormat="1" ht="36" customHeight="1" thickBot="1" x14ac:dyDescent="0.4">
      <c r="A6" s="55" t="s">
        <v>1</v>
      </c>
      <c r="B6" s="51"/>
      <c r="C6" s="51"/>
      <c r="D6" s="7"/>
      <c r="E6" s="66" t="s">
        <v>2</v>
      </c>
      <c r="F6" s="21" t="s">
        <v>3</v>
      </c>
      <c r="G6" s="8" t="s">
        <v>4</v>
      </c>
      <c r="H6" s="9" t="s">
        <v>5</v>
      </c>
      <c r="I6" s="10" t="s">
        <v>6</v>
      </c>
      <c r="J6" s="10" t="s">
        <v>7</v>
      </c>
      <c r="K6" s="11" t="s">
        <v>11</v>
      </c>
      <c r="L6" s="11" t="s">
        <v>12</v>
      </c>
      <c r="M6" s="11" t="s">
        <v>13</v>
      </c>
      <c r="N6" s="11" t="s">
        <v>14</v>
      </c>
      <c r="O6" s="11" t="s">
        <v>15</v>
      </c>
      <c r="P6" s="12" t="s">
        <v>18</v>
      </c>
      <c r="Q6" s="51"/>
    </row>
    <row r="7" spans="1:18" ht="16.5" thickBot="1" x14ac:dyDescent="0.5">
      <c r="A7" s="58" t="str">
        <f>Data2[[#This Row],[Patient Identifier]]&amp;Data2[[#This Row],[Eye (OD/OS)]]</f>
        <v>99999OD</v>
      </c>
      <c r="B7" s="50"/>
      <c r="C7" s="50"/>
      <c r="D7" s="14" t="s">
        <v>22</v>
      </c>
      <c r="E7" s="67" t="s">
        <v>23</v>
      </c>
      <c r="F7" s="22" t="s">
        <v>48</v>
      </c>
      <c r="G7" s="15" t="s">
        <v>25</v>
      </c>
      <c r="H7" s="16">
        <v>43831</v>
      </c>
      <c r="I7" s="17" t="s">
        <v>26</v>
      </c>
      <c r="J7" s="17">
        <v>-0.25</v>
      </c>
      <c r="K7" s="17" t="s">
        <v>27</v>
      </c>
      <c r="L7" s="17" t="s">
        <v>28</v>
      </c>
      <c r="M7" s="17" t="s">
        <v>27</v>
      </c>
      <c r="N7" s="17" t="s">
        <v>29</v>
      </c>
      <c r="O7" s="17">
        <v>-0.25</v>
      </c>
      <c r="P7" s="18" t="s">
        <v>30</v>
      </c>
      <c r="Q7" s="50"/>
      <c r="R7" s="78" t="s">
        <v>21</v>
      </c>
    </row>
    <row r="8" spans="1:18" ht="16.5" thickTop="1" x14ac:dyDescent="0.45">
      <c r="A8" s="58" t="str">
        <f>Data2[[#This Row],[Patient Identifier]]&amp;Data2[[#This Row],[Eye (OD/OS)]]</f>
        <v/>
      </c>
      <c r="B8" s="50"/>
      <c r="C8" s="50"/>
      <c r="D8" s="2"/>
      <c r="E8" s="68"/>
      <c r="F8" s="28"/>
      <c r="G8" s="29"/>
      <c r="H8" s="30"/>
      <c r="I8" s="31"/>
      <c r="J8" s="31"/>
      <c r="K8" s="31"/>
      <c r="L8" s="31"/>
      <c r="M8" s="31"/>
      <c r="N8" s="31"/>
      <c r="O8" s="31"/>
      <c r="P8" s="32"/>
      <c r="Q8" s="50"/>
      <c r="R8" s="75" t="s">
        <v>31</v>
      </c>
    </row>
    <row r="9" spans="1:18" x14ac:dyDescent="0.45">
      <c r="A9" s="58" t="str">
        <f>Data2[[#This Row],[Patient Identifier]]&amp;Data2[[#This Row],[Eye (OD/OS)]]</f>
        <v/>
      </c>
      <c r="B9" s="50"/>
      <c r="C9" s="50"/>
      <c r="D9" s="2"/>
      <c r="E9" s="68"/>
      <c r="F9" s="28"/>
      <c r="G9" s="29"/>
      <c r="H9" s="30"/>
      <c r="I9" s="31"/>
      <c r="J9" s="31"/>
      <c r="K9" s="31"/>
      <c r="L9" s="31"/>
      <c r="M9" s="31"/>
      <c r="N9" s="31"/>
      <c r="O9" s="31"/>
      <c r="P9" s="32"/>
      <c r="Q9" s="50"/>
      <c r="R9" s="75" t="s">
        <v>32</v>
      </c>
    </row>
    <row r="10" spans="1:18" x14ac:dyDescent="0.45">
      <c r="A10" s="58" t="str">
        <f>Data2[[#This Row],[Patient Identifier]]&amp;Data2[[#This Row],[Eye (OD/OS)]]</f>
        <v/>
      </c>
      <c r="B10" s="50"/>
      <c r="C10" s="50"/>
      <c r="D10" s="2"/>
      <c r="E10" s="68"/>
      <c r="F10" s="28"/>
      <c r="G10" s="29"/>
      <c r="H10" s="30"/>
      <c r="I10" s="31"/>
      <c r="J10" s="31"/>
      <c r="K10" s="31"/>
      <c r="L10" s="31"/>
      <c r="M10" s="31"/>
      <c r="N10" s="31"/>
      <c r="O10" s="31"/>
      <c r="P10" s="32"/>
      <c r="Q10" s="50"/>
      <c r="R10" s="75" t="s">
        <v>33</v>
      </c>
    </row>
    <row r="11" spans="1:18" x14ac:dyDescent="0.45">
      <c r="A11" s="58" t="str">
        <f>Data2[[#This Row],[Patient Identifier]]&amp;Data2[[#This Row],[Eye (OD/OS)]]</f>
        <v/>
      </c>
      <c r="B11" s="50"/>
      <c r="C11" s="50"/>
      <c r="D11" s="2"/>
      <c r="E11" s="68"/>
      <c r="F11" s="28"/>
      <c r="G11" s="29"/>
      <c r="H11" s="30"/>
      <c r="I11" s="31"/>
      <c r="J11" s="31"/>
      <c r="K11" s="31"/>
      <c r="L11" s="31"/>
      <c r="M11" s="31"/>
      <c r="N11" s="31"/>
      <c r="O11" s="31"/>
      <c r="P11" s="32"/>
      <c r="Q11" s="50"/>
      <c r="R11" s="75" t="s">
        <v>34</v>
      </c>
    </row>
    <row r="12" spans="1:18" x14ac:dyDescent="0.45">
      <c r="A12" s="58" t="str">
        <f>Data2[[#This Row],[Patient Identifier]]&amp;Data2[[#This Row],[Eye (OD/OS)]]</f>
        <v/>
      </c>
      <c r="B12" s="50"/>
      <c r="C12" s="50"/>
      <c r="D12" s="2"/>
      <c r="E12" s="68"/>
      <c r="F12" s="28"/>
      <c r="G12" s="29"/>
      <c r="H12" s="30"/>
      <c r="I12" s="31"/>
      <c r="J12" s="31"/>
      <c r="K12" s="31"/>
      <c r="L12" s="31"/>
      <c r="M12" s="31"/>
      <c r="N12" s="31"/>
      <c r="O12" s="31"/>
      <c r="P12" s="32"/>
      <c r="Q12" s="50"/>
      <c r="R12" s="76" t="s">
        <v>35</v>
      </c>
    </row>
    <row r="13" spans="1:18" x14ac:dyDescent="0.45">
      <c r="A13" s="58" t="str">
        <f>Data2[[#This Row],[Patient Identifier]]&amp;Data2[[#This Row],[Eye (OD/OS)]]</f>
        <v/>
      </c>
      <c r="B13" s="50"/>
      <c r="C13" s="50"/>
      <c r="D13" s="2"/>
      <c r="E13" s="68"/>
      <c r="F13" s="28"/>
      <c r="G13" s="29"/>
      <c r="H13" s="30"/>
      <c r="I13" s="31"/>
      <c r="J13" s="31"/>
      <c r="K13" s="31"/>
      <c r="L13" s="31"/>
      <c r="M13" s="31"/>
      <c r="N13" s="31"/>
      <c r="O13" s="31"/>
      <c r="P13" s="32"/>
      <c r="Q13" s="50"/>
      <c r="R13" s="75" t="s">
        <v>36</v>
      </c>
    </row>
    <row r="14" spans="1:18" x14ac:dyDescent="0.45">
      <c r="A14" s="58" t="str">
        <f>Data2[[#This Row],[Patient Identifier]]&amp;Data2[[#This Row],[Eye (OD/OS)]]</f>
        <v/>
      </c>
      <c r="B14" s="50"/>
      <c r="C14" s="50"/>
      <c r="D14" s="2"/>
      <c r="E14" s="68"/>
      <c r="F14" s="28"/>
      <c r="G14" s="29"/>
      <c r="H14" s="30"/>
      <c r="I14" s="31"/>
      <c r="J14" s="31"/>
      <c r="K14" s="31"/>
      <c r="L14" s="31"/>
      <c r="M14" s="31"/>
      <c r="N14" s="31"/>
      <c r="O14" s="31"/>
      <c r="P14" s="32"/>
      <c r="Q14" s="50"/>
      <c r="R14" s="77" t="s">
        <v>37</v>
      </c>
    </row>
    <row r="15" spans="1:18" x14ac:dyDescent="0.45">
      <c r="A15" s="58" t="str">
        <f>Data2[[#This Row],[Patient Identifier]]&amp;Data2[[#This Row],[Eye (OD/OS)]]</f>
        <v/>
      </c>
      <c r="B15" s="50"/>
      <c r="C15" s="50"/>
      <c r="D15" s="2"/>
      <c r="E15" s="68"/>
      <c r="F15" s="28"/>
      <c r="G15" s="29"/>
      <c r="H15" s="30"/>
      <c r="I15" s="31"/>
      <c r="J15" s="31"/>
      <c r="K15" s="31"/>
      <c r="L15" s="31"/>
      <c r="M15" s="31"/>
      <c r="N15" s="31"/>
      <c r="O15" s="31"/>
      <c r="P15" s="32"/>
      <c r="Q15" s="50"/>
      <c r="R15" s="75" t="s">
        <v>38</v>
      </c>
    </row>
    <row r="16" spans="1:18" x14ac:dyDescent="0.45">
      <c r="A16" s="58" t="str">
        <f>Data2[[#This Row],[Patient Identifier]]&amp;Data2[[#This Row],[Eye (OD/OS)]]</f>
        <v/>
      </c>
      <c r="B16" s="50"/>
      <c r="C16" s="50"/>
      <c r="D16" s="2"/>
      <c r="E16" s="68"/>
      <c r="F16" s="28"/>
      <c r="G16" s="29"/>
      <c r="H16" s="30"/>
      <c r="I16" s="31"/>
      <c r="J16" s="31"/>
      <c r="K16" s="31"/>
      <c r="L16" s="31"/>
      <c r="M16" s="31"/>
      <c r="N16" s="31"/>
      <c r="O16" s="31"/>
      <c r="P16" s="32"/>
      <c r="Q16" s="50"/>
      <c r="R16" s="75" t="s">
        <v>39</v>
      </c>
    </row>
    <row r="17" spans="1:18" x14ac:dyDescent="0.45">
      <c r="A17" s="58" t="str">
        <f>Data2[[#This Row],[Patient Identifier]]&amp;Data2[[#This Row],[Eye (OD/OS)]]</f>
        <v/>
      </c>
      <c r="B17" s="50"/>
      <c r="C17" s="50"/>
      <c r="D17" s="2"/>
      <c r="E17" s="68"/>
      <c r="F17" s="28"/>
      <c r="G17" s="29"/>
      <c r="H17" s="30"/>
      <c r="I17" s="31"/>
      <c r="J17" s="31"/>
      <c r="K17" s="31"/>
      <c r="L17" s="31"/>
      <c r="M17" s="31"/>
      <c r="N17" s="31"/>
      <c r="O17" s="31"/>
      <c r="P17" s="32"/>
      <c r="Q17" s="50"/>
      <c r="R17" s="75" t="s">
        <v>40</v>
      </c>
    </row>
    <row r="18" spans="1:18" x14ac:dyDescent="0.45">
      <c r="A18" s="58" t="str">
        <f>Data2[[#This Row],[Patient Identifier]]&amp;Data2[[#This Row],[Eye (OD/OS)]]</f>
        <v/>
      </c>
      <c r="B18" s="50"/>
      <c r="C18" s="50"/>
      <c r="D18" s="2"/>
      <c r="E18" s="68"/>
      <c r="F18" s="28"/>
      <c r="G18" s="29"/>
      <c r="H18" s="30"/>
      <c r="I18" s="31"/>
      <c r="J18" s="31"/>
      <c r="K18" s="31"/>
      <c r="L18" s="31"/>
      <c r="M18" s="31"/>
      <c r="N18" s="31"/>
      <c r="O18" s="31"/>
      <c r="P18" s="32"/>
      <c r="Q18" s="50"/>
      <c r="R18" s="75" t="s">
        <v>41</v>
      </c>
    </row>
    <row r="19" spans="1:18" x14ac:dyDescent="0.45">
      <c r="A19" s="58" t="str">
        <f>Data2[[#This Row],[Patient Identifier]]&amp;Data2[[#This Row],[Eye (OD/OS)]]</f>
        <v/>
      </c>
      <c r="B19" s="50"/>
      <c r="C19" s="50"/>
      <c r="D19" s="2"/>
      <c r="E19" s="68"/>
      <c r="F19" s="28"/>
      <c r="G19" s="29"/>
      <c r="H19" s="30"/>
      <c r="I19" s="31"/>
      <c r="J19" s="31"/>
      <c r="K19" s="31"/>
      <c r="L19" s="31"/>
      <c r="M19" s="31"/>
      <c r="N19" s="31"/>
      <c r="O19" s="31"/>
      <c r="P19" s="32"/>
      <c r="Q19" s="50"/>
      <c r="R19" s="75" t="s">
        <v>42</v>
      </c>
    </row>
    <row r="20" spans="1:18" x14ac:dyDescent="0.45">
      <c r="A20" s="58" t="str">
        <f>Data2[[#This Row],[Patient Identifier]]&amp;Data2[[#This Row],[Eye (OD/OS)]]</f>
        <v/>
      </c>
      <c r="B20" s="50"/>
      <c r="C20" s="50"/>
      <c r="D20" s="2"/>
      <c r="E20" s="68"/>
      <c r="F20" s="28"/>
      <c r="G20" s="29"/>
      <c r="H20" s="30"/>
      <c r="I20" s="31"/>
      <c r="J20" s="31"/>
      <c r="K20" s="31"/>
      <c r="L20" s="31"/>
      <c r="M20" s="31"/>
      <c r="N20" s="31"/>
      <c r="O20" s="31"/>
      <c r="P20" s="32"/>
      <c r="Q20" s="50"/>
      <c r="R20" s="75" t="s">
        <v>43</v>
      </c>
    </row>
    <row r="21" spans="1:18" x14ac:dyDescent="0.45">
      <c r="A21" s="58" t="str">
        <f>Data2[[#This Row],[Patient Identifier]]&amp;Data2[[#This Row],[Eye (OD/OS)]]</f>
        <v/>
      </c>
      <c r="B21" s="50"/>
      <c r="C21" s="50"/>
      <c r="D21" s="2"/>
      <c r="E21" s="68"/>
      <c r="F21" s="28"/>
      <c r="G21" s="29"/>
      <c r="H21" s="30"/>
      <c r="I21" s="31"/>
      <c r="J21" s="31"/>
      <c r="K21" s="31"/>
      <c r="L21" s="31"/>
      <c r="M21" s="31"/>
      <c r="N21" s="31"/>
      <c r="O21" s="31"/>
      <c r="P21" s="32"/>
      <c r="Q21" s="50"/>
      <c r="R21" s="75"/>
    </row>
    <row r="22" spans="1:18" x14ac:dyDescent="0.45">
      <c r="A22" s="58" t="str">
        <f>Data2[[#This Row],[Patient Identifier]]&amp;Data2[[#This Row],[Eye (OD/OS)]]</f>
        <v/>
      </c>
      <c r="B22" s="50"/>
      <c r="C22" s="50"/>
      <c r="D22" s="2"/>
      <c r="E22" s="68"/>
      <c r="F22" s="28"/>
      <c r="G22" s="29"/>
      <c r="H22" s="30"/>
      <c r="I22" s="31"/>
      <c r="J22" s="31"/>
      <c r="K22" s="31"/>
      <c r="L22" s="31"/>
      <c r="M22" s="31"/>
      <c r="N22" s="31"/>
      <c r="O22" s="31"/>
      <c r="P22" s="32"/>
      <c r="Q22" s="50"/>
    </row>
    <row r="23" spans="1:18" x14ac:dyDescent="0.45">
      <c r="A23" s="58" t="str">
        <f>Data2[[#This Row],[Patient Identifier]]&amp;Data2[[#This Row],[Eye (OD/OS)]]</f>
        <v/>
      </c>
      <c r="B23" s="50"/>
      <c r="C23" s="50"/>
      <c r="D23" s="2"/>
      <c r="E23" s="68"/>
      <c r="F23" s="28"/>
      <c r="G23" s="29"/>
      <c r="H23" s="30"/>
      <c r="I23" s="31"/>
      <c r="J23" s="31"/>
      <c r="K23" s="31"/>
      <c r="L23" s="31"/>
      <c r="M23" s="31"/>
      <c r="N23" s="31"/>
      <c r="O23" s="31"/>
      <c r="P23" s="32"/>
      <c r="Q23" s="50"/>
    </row>
    <row r="24" spans="1:18" x14ac:dyDescent="0.45">
      <c r="A24" s="58" t="str">
        <f>Data2[[#This Row],[Patient Identifier]]&amp;Data2[[#This Row],[Eye (OD/OS)]]</f>
        <v/>
      </c>
      <c r="B24" s="50"/>
      <c r="C24" s="50"/>
      <c r="D24" s="2"/>
      <c r="E24" s="68"/>
      <c r="F24" s="28"/>
      <c r="G24" s="29"/>
      <c r="H24" s="30"/>
      <c r="I24" s="31"/>
      <c r="J24" s="31"/>
      <c r="K24" s="31"/>
      <c r="L24" s="31"/>
      <c r="M24" s="31"/>
      <c r="N24" s="31"/>
      <c r="O24" s="31"/>
      <c r="P24" s="32"/>
      <c r="Q24" s="50"/>
    </row>
    <row r="25" spans="1:18" x14ac:dyDescent="0.45">
      <c r="A25" s="58" t="str">
        <f>Data2[[#This Row],[Patient Identifier]]&amp;Data2[[#This Row],[Eye (OD/OS)]]</f>
        <v/>
      </c>
      <c r="B25" s="50"/>
      <c r="C25" s="50"/>
      <c r="D25" s="2"/>
      <c r="E25" s="68"/>
      <c r="F25" s="28"/>
      <c r="G25" s="29"/>
      <c r="H25" s="30"/>
      <c r="I25" s="31"/>
      <c r="J25" s="31"/>
      <c r="K25" s="31"/>
      <c r="L25" s="31"/>
      <c r="M25" s="31"/>
      <c r="N25" s="31"/>
      <c r="O25" s="31"/>
      <c r="P25" s="32"/>
      <c r="Q25" s="50"/>
    </row>
    <row r="26" spans="1:18" x14ac:dyDescent="0.45">
      <c r="A26" s="58" t="str">
        <f>Data2[[#This Row],[Patient Identifier]]&amp;Data2[[#This Row],[Eye (OD/OS)]]</f>
        <v/>
      </c>
      <c r="B26" s="50"/>
      <c r="C26" s="50"/>
      <c r="D26" s="2"/>
      <c r="E26" s="68"/>
      <c r="F26" s="28"/>
      <c r="G26" s="29"/>
      <c r="H26" s="30"/>
      <c r="I26" s="31"/>
      <c r="J26" s="31"/>
      <c r="K26" s="31"/>
      <c r="L26" s="31"/>
      <c r="M26" s="31"/>
      <c r="N26" s="31"/>
      <c r="O26" s="31"/>
      <c r="P26" s="32"/>
      <c r="Q26" s="50"/>
    </row>
    <row r="27" spans="1:18" ht="16.5" thickBot="1" x14ac:dyDescent="0.5">
      <c r="A27" s="58" t="str">
        <f>Data2[[#This Row],[Patient Identifier]]&amp;Data2[[#This Row],[Eye (OD/OS)]]</f>
        <v/>
      </c>
      <c r="B27" s="50"/>
      <c r="C27" s="50"/>
      <c r="D27" s="2"/>
      <c r="E27" s="69"/>
      <c r="F27" s="52"/>
      <c r="G27" s="29"/>
      <c r="H27" s="53"/>
      <c r="I27" s="33"/>
      <c r="J27" s="33"/>
      <c r="K27" s="33"/>
      <c r="L27" s="33"/>
      <c r="M27" s="33"/>
      <c r="N27" s="33"/>
      <c r="O27" s="33"/>
      <c r="P27" s="34"/>
      <c r="Q27" s="50"/>
    </row>
    <row r="28" spans="1:18" ht="16.5" thickBot="1" x14ac:dyDescent="0.5">
      <c r="A28" s="58"/>
      <c r="D28" s="5"/>
      <c r="E28" s="201" t="s">
        <v>44</v>
      </c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3"/>
    </row>
    <row r="29" spans="1:18" x14ac:dyDescent="0.45">
      <c r="A29" s="58" t="str">
        <f>G29&amp;I29</f>
        <v>OU</v>
      </c>
      <c r="D29" s="5"/>
      <c r="E29" s="70"/>
      <c r="F29" s="41"/>
      <c r="G29" s="35"/>
      <c r="H29" s="36"/>
      <c r="I29" s="37" t="s">
        <v>46</v>
      </c>
      <c r="J29" s="38"/>
      <c r="K29" s="39"/>
      <c r="L29" s="39"/>
      <c r="M29" s="39"/>
      <c r="N29" s="39"/>
      <c r="O29" s="38"/>
      <c r="P29" s="42"/>
    </row>
    <row r="30" spans="1:18" x14ac:dyDescent="0.45">
      <c r="A30" s="58" t="str">
        <f t="shared" ref="A30:A38" si="0">G30&amp;I30</f>
        <v>OU</v>
      </c>
      <c r="D30" s="5"/>
      <c r="E30" s="71"/>
      <c r="F30" s="40"/>
      <c r="G30" s="29"/>
      <c r="H30" s="26"/>
      <c r="I30" s="19" t="s">
        <v>46</v>
      </c>
      <c r="J30" s="24"/>
      <c r="K30" s="31"/>
      <c r="L30" s="31"/>
      <c r="M30" s="31"/>
      <c r="N30" s="31"/>
      <c r="O30" s="24"/>
      <c r="P30" s="32"/>
    </row>
    <row r="31" spans="1:18" x14ac:dyDescent="0.45">
      <c r="A31" s="58" t="str">
        <f t="shared" si="0"/>
        <v>OU</v>
      </c>
      <c r="D31" s="5"/>
      <c r="E31" s="71"/>
      <c r="F31" s="40"/>
      <c r="G31" s="29"/>
      <c r="H31" s="26"/>
      <c r="I31" s="19" t="s">
        <v>46</v>
      </c>
      <c r="J31" s="24"/>
      <c r="K31" s="31"/>
      <c r="L31" s="31"/>
      <c r="M31" s="31"/>
      <c r="N31" s="31"/>
      <c r="O31" s="24"/>
      <c r="P31" s="32"/>
    </row>
    <row r="32" spans="1:18" x14ac:dyDescent="0.45">
      <c r="A32" s="58" t="str">
        <f t="shared" si="0"/>
        <v>OU</v>
      </c>
      <c r="D32" s="5"/>
      <c r="E32" s="71"/>
      <c r="F32" s="40"/>
      <c r="G32" s="29"/>
      <c r="H32" s="26"/>
      <c r="I32" s="19" t="s">
        <v>46</v>
      </c>
      <c r="J32" s="24"/>
      <c r="K32" s="31"/>
      <c r="L32" s="31"/>
      <c r="M32" s="31"/>
      <c r="N32" s="31"/>
      <c r="O32" s="24"/>
      <c r="P32" s="32"/>
    </row>
    <row r="33" spans="1:16" x14ac:dyDescent="0.45">
      <c r="A33" s="58" t="str">
        <f t="shared" si="0"/>
        <v>OU</v>
      </c>
      <c r="D33" s="5"/>
      <c r="E33" s="71"/>
      <c r="F33" s="40"/>
      <c r="G33" s="29"/>
      <c r="H33" s="26"/>
      <c r="I33" s="19" t="s">
        <v>46</v>
      </c>
      <c r="J33" s="24"/>
      <c r="K33" s="31"/>
      <c r="L33" s="31"/>
      <c r="M33" s="31"/>
      <c r="N33" s="31"/>
      <c r="O33" s="24"/>
      <c r="P33" s="32"/>
    </row>
    <row r="34" spans="1:16" x14ac:dyDescent="0.45">
      <c r="A34" s="58" t="str">
        <f t="shared" si="0"/>
        <v>OU</v>
      </c>
      <c r="D34" s="5"/>
      <c r="E34" s="71"/>
      <c r="F34" s="40"/>
      <c r="G34" s="29"/>
      <c r="H34" s="26"/>
      <c r="I34" s="19" t="s">
        <v>46</v>
      </c>
      <c r="J34" s="24"/>
      <c r="K34" s="31"/>
      <c r="L34" s="31"/>
      <c r="M34" s="31"/>
      <c r="N34" s="31"/>
      <c r="O34" s="24"/>
      <c r="P34" s="32"/>
    </row>
    <row r="35" spans="1:16" x14ac:dyDescent="0.45">
      <c r="A35" s="58" t="str">
        <f t="shared" si="0"/>
        <v>OU</v>
      </c>
      <c r="D35" s="5"/>
      <c r="E35" s="71"/>
      <c r="F35" s="40"/>
      <c r="G35" s="29"/>
      <c r="H35" s="26"/>
      <c r="I35" s="19" t="s">
        <v>46</v>
      </c>
      <c r="J35" s="24"/>
      <c r="K35" s="31"/>
      <c r="L35" s="31"/>
      <c r="M35" s="31"/>
      <c r="N35" s="31"/>
      <c r="O35" s="24"/>
      <c r="P35" s="32"/>
    </row>
    <row r="36" spans="1:16" x14ac:dyDescent="0.45">
      <c r="A36" s="58" t="str">
        <f t="shared" si="0"/>
        <v>OU</v>
      </c>
      <c r="D36" s="5"/>
      <c r="E36" s="71"/>
      <c r="F36" s="40"/>
      <c r="G36" s="29"/>
      <c r="H36" s="26"/>
      <c r="I36" s="19" t="s">
        <v>46</v>
      </c>
      <c r="J36" s="24"/>
      <c r="K36" s="31"/>
      <c r="L36" s="31"/>
      <c r="M36" s="31"/>
      <c r="N36" s="31"/>
      <c r="O36" s="24"/>
      <c r="P36" s="32"/>
    </row>
    <row r="37" spans="1:16" x14ac:dyDescent="0.45">
      <c r="A37" s="58" t="str">
        <f t="shared" si="0"/>
        <v>OU</v>
      </c>
      <c r="D37" s="5"/>
      <c r="E37" s="71"/>
      <c r="F37" s="40"/>
      <c r="G37" s="29"/>
      <c r="H37" s="26"/>
      <c r="I37" s="19" t="s">
        <v>46</v>
      </c>
      <c r="J37" s="24"/>
      <c r="K37" s="31"/>
      <c r="L37" s="31"/>
      <c r="M37" s="31"/>
      <c r="N37" s="31"/>
      <c r="O37" s="24"/>
      <c r="P37" s="32"/>
    </row>
    <row r="38" spans="1:16" ht="16.5" thickBot="1" x14ac:dyDescent="0.5">
      <c r="A38" s="58" t="str">
        <f t="shared" si="0"/>
        <v>OU</v>
      </c>
      <c r="D38" s="5"/>
      <c r="E38" s="72"/>
      <c r="F38" s="43"/>
      <c r="G38" s="44"/>
      <c r="H38" s="27"/>
      <c r="I38" s="23" t="s">
        <v>46</v>
      </c>
      <c r="J38" s="25"/>
      <c r="K38" s="33"/>
      <c r="L38" s="33"/>
      <c r="M38" s="33"/>
      <c r="N38" s="33"/>
      <c r="O38" s="25"/>
      <c r="P38" s="34"/>
    </row>
    <row r="39" spans="1:16" x14ac:dyDescent="0.45">
      <c r="D39" s="5"/>
      <c r="E39" s="73"/>
      <c r="F39" s="5"/>
      <c r="G39" s="5"/>
      <c r="H39" s="5"/>
      <c r="I39" s="5"/>
      <c r="J39" s="5"/>
      <c r="K39" s="5"/>
      <c r="L39" s="5"/>
      <c r="M39" s="5"/>
      <c r="N39" s="5"/>
      <c r="O39" s="5"/>
    </row>
  </sheetData>
  <sheetProtection selectLockedCells="1"/>
  <mergeCells count="2">
    <mergeCell ref="E28:P28"/>
    <mergeCell ref="R2:R5"/>
  </mergeCells>
  <conditionalFormatting sqref="I8:I27 I29:I38">
    <cfRule type="cellIs" dxfId="2" priority="1" operator="equal">
      <formula>"OD"</formula>
    </cfRule>
    <cfRule type="cellIs" dxfId="1" priority="2" operator="equal">
      <formula>"OS"</formula>
    </cfRule>
    <cfRule type="cellIs" dxfId="0" priority="3" operator="equal">
      <formula>"OU"</formula>
    </cfRule>
  </conditionalFormatting>
  <pageMargins left="0" right="0" top="0.25" bottom="0.25" header="0.3" footer="0.3"/>
  <pageSetup scale="75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A1DDCD4-F44A-4770-9210-EBA79FC18F1E}">
          <x14:formula1>
            <xm:f>OFFSET(Parameters!$H$2,0,0,NumVal)</xm:f>
          </x14:formula1>
          <xm:sqref>G29:G38</xm:sqref>
        </x14:dataValidation>
        <x14:dataValidation type="list" allowBlank="1" showInputMessage="1" showErrorMessage="1" xr:uid="{38D7D586-9419-425B-B3C2-1F029268CADB}">
          <x14:formula1>
            <xm:f>Parameters!$A$2:$A$3</xm:f>
          </x14:formula1>
          <xm:sqref>I7:I27</xm:sqref>
        </x14:dataValidation>
        <x14:dataValidation type="list" allowBlank="1" showInputMessage="1" showErrorMessage="1" xr:uid="{EF8E75D4-288D-4C03-8674-6D4C12F7CFEA}">
          <x14:formula1>
            <xm:f>Parameters!$E$2:$E$3</xm:f>
          </x14:formula1>
          <xm:sqref>P29:P38 P7:P27</xm:sqref>
        </x14:dataValidation>
        <x14:dataValidation type="list" allowBlank="1" showInputMessage="1" showErrorMessage="1" xr:uid="{DADC789A-E62D-4E4A-B2EA-D32205D8D599}">
          <x14:formula1>
            <xm:f>Parameters!$C$2:$C$9</xm:f>
          </x14:formula1>
          <xm:sqref>N7:N27 N29:N38</xm:sqref>
        </x14:dataValidation>
        <x14:dataValidation type="list" allowBlank="1" showInputMessage="1" showErrorMessage="1" xr:uid="{1525EDF1-A4E8-411A-944A-C14ED79F2DA6}">
          <x14:formula1>
            <xm:f>Parameters!$B$2:$B$9</xm:f>
          </x14:formula1>
          <xm:sqref>K7:M27 K29:M38</xm:sqref>
        </x14:dataValidation>
        <x14:dataValidation type="list" allowBlank="1" showInputMessage="1" showErrorMessage="1" xr:uid="{23588ECD-2895-498E-88ED-278C1FA9B33F}">
          <x14:formula1>
            <xm:f>Parameters!$F$4:$F$5</xm:f>
          </x14:formula1>
          <xm:sqref>F7:F27 F29:F38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FFE6-AA9C-4A60-AE60-CA68F4CDE2CB}">
  <sheetPr codeName="Sheet7"/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59FF-5797-43A2-B9A6-BA44B881E4CC}">
  <sheetPr codeName="Sheet3"/>
  <dimension ref="A1:R22"/>
  <sheetViews>
    <sheetView workbookViewId="0">
      <selection activeCell="B2" sqref="B2:B16"/>
    </sheetView>
  </sheetViews>
  <sheetFormatPr baseColWidth="10" defaultColWidth="8.81640625" defaultRowHeight="14.5" x14ac:dyDescent="0.35"/>
  <cols>
    <col min="6" max="6" width="14" bestFit="1" customWidth="1"/>
    <col min="8" max="8" width="11.1796875" bestFit="1" customWidth="1"/>
    <col min="10" max="10" width="16.453125" bestFit="1" customWidth="1"/>
    <col min="16" max="16" width="59.453125" customWidth="1"/>
  </cols>
  <sheetData>
    <row r="1" spans="1:18" x14ac:dyDescent="0.35">
      <c r="A1" t="s">
        <v>159</v>
      </c>
      <c r="B1" t="s">
        <v>160</v>
      </c>
      <c r="C1" t="s">
        <v>161</v>
      </c>
      <c r="E1" t="s">
        <v>162</v>
      </c>
      <c r="F1" t="s">
        <v>163</v>
      </c>
      <c r="H1" t="s">
        <v>164</v>
      </c>
      <c r="J1" t="s">
        <v>165</v>
      </c>
      <c r="L1" t="s">
        <v>166</v>
      </c>
      <c r="P1" cm="1">
        <f t="array" aca="1" ref="P1:P21" ca="1">OFFSET(Parameters!$H$2,0,0,COUNTA(Parameters!$H:$H)-1,1)</f>
        <v>0</v>
      </c>
      <c r="R1" t="s">
        <v>167</v>
      </c>
    </row>
    <row r="2" spans="1:18" x14ac:dyDescent="0.35">
      <c r="A2" t="s">
        <v>26</v>
      </c>
      <c r="B2" s="172">
        <v>15</v>
      </c>
      <c r="C2" s="1" t="s">
        <v>79</v>
      </c>
      <c r="E2" t="s">
        <v>168</v>
      </c>
      <c r="F2" t="s">
        <v>169</v>
      </c>
      <c r="H2" cm="1">
        <f t="array" ref="H2">IFERROR(INDEX(List,MATCH(0,INDEX(COUNTIF($H$1:H1,List),),0)),"")</f>
        <v>0</v>
      </c>
      <c r="J2" t="e" cm="1">
        <f t="array" ref="J2">SUMPRODUCT(1/COUNTIF(List,List))</f>
        <v>#DIV/0!</v>
      </c>
      <c r="L2" t="e" cm="1">
        <f t="array" aca="1" ref="L2" ca="1">OFFSET($H$2,0,0,NumVal)</f>
        <v>#DIV/0!</v>
      </c>
      <c r="P2" t="str">
        <f ca="1"/>
        <v/>
      </c>
      <c r="R2" t="s">
        <v>53</v>
      </c>
    </row>
    <row r="3" spans="1:18" x14ac:dyDescent="0.35">
      <c r="A3" t="s">
        <v>170</v>
      </c>
      <c r="B3" s="172">
        <v>16</v>
      </c>
      <c r="C3" s="1" t="s">
        <v>80</v>
      </c>
      <c r="E3" t="s">
        <v>30</v>
      </c>
      <c r="F3" t="s">
        <v>171</v>
      </c>
      <c r="H3" t="str" cm="1">
        <f t="array" ref="H3">IFERROR(INDEX(List,MATCH(0,INDEX(COUNTIF($H$1:H2,List),),0)),"")</f>
        <v/>
      </c>
      <c r="P3" t="str">
        <f ca="1"/>
        <v/>
      </c>
    </row>
    <row r="4" spans="1:18" x14ac:dyDescent="0.35">
      <c r="A4" t="s">
        <v>46</v>
      </c>
      <c r="B4" s="172">
        <v>20</v>
      </c>
      <c r="C4" s="1" t="s">
        <v>81</v>
      </c>
      <c r="F4" t="s">
        <v>24</v>
      </c>
      <c r="H4" t="str" cm="1">
        <f t="array" ref="H4">IFERROR(INDEX(List,MATCH(0,INDEX(COUNTIF($H$1:H3,List),),0)),"")</f>
        <v/>
      </c>
      <c r="P4" t="str">
        <f ca="1"/>
        <v/>
      </c>
    </row>
    <row r="5" spans="1:18" x14ac:dyDescent="0.35">
      <c r="B5" s="172">
        <v>25</v>
      </c>
      <c r="C5" s="1" t="s">
        <v>29</v>
      </c>
      <c r="F5" t="s">
        <v>48</v>
      </c>
      <c r="H5" t="str" cm="1">
        <f t="array" ref="H5">IFERROR(INDEX(List,MATCH(0,INDEX(COUNTIF($H$1:H4,List),),0)),"")</f>
        <v/>
      </c>
      <c r="P5" t="str">
        <f ca="1"/>
        <v/>
      </c>
    </row>
    <row r="6" spans="1:18" x14ac:dyDescent="0.35">
      <c r="B6" s="172">
        <v>30</v>
      </c>
      <c r="C6" s="1" t="s">
        <v>82</v>
      </c>
      <c r="F6" t="s">
        <v>49</v>
      </c>
      <c r="H6" t="str" cm="1">
        <f t="array" ref="H6">IFERROR(INDEX(List,MATCH(0,INDEX(COUNTIF($H$1:H5,List),),0)),"")</f>
        <v/>
      </c>
      <c r="P6" t="str">
        <f ca="1"/>
        <v/>
      </c>
    </row>
    <row r="7" spans="1:18" x14ac:dyDescent="0.35">
      <c r="B7" s="172">
        <v>32</v>
      </c>
      <c r="C7" s="1" t="s">
        <v>83</v>
      </c>
      <c r="F7" t="s">
        <v>50</v>
      </c>
      <c r="H7" t="str" cm="1">
        <f t="array" ref="H7">IFERROR(INDEX(List,MATCH(0,INDEX(COUNTIF($H$1:H6,List),),0)),"")</f>
        <v/>
      </c>
      <c r="P7" t="str">
        <f ca="1"/>
        <v/>
      </c>
    </row>
    <row r="8" spans="1:18" x14ac:dyDescent="0.35">
      <c r="B8" s="172">
        <v>40</v>
      </c>
      <c r="C8" s="1" t="s">
        <v>84</v>
      </c>
      <c r="F8" t="s">
        <v>51</v>
      </c>
      <c r="H8" t="str" cm="1">
        <f t="array" ref="H8">IFERROR(INDEX(List,MATCH(0,INDEX(COUNTIF($H$1:H7,List),),0)),"")</f>
        <v/>
      </c>
      <c r="P8" t="str">
        <f ca="1"/>
        <v/>
      </c>
    </row>
    <row r="9" spans="1:18" x14ac:dyDescent="0.35">
      <c r="B9" s="172">
        <v>50</v>
      </c>
      <c r="C9" s="1" t="s">
        <v>85</v>
      </c>
      <c r="F9" t="s">
        <v>52</v>
      </c>
      <c r="H9" t="str" cm="1">
        <f t="array" ref="H9">IFERROR(INDEX(List,MATCH(0,INDEX(COUNTIF($H$1:H8,List),),0)),"")</f>
        <v/>
      </c>
      <c r="P9" t="str">
        <f ca="1"/>
        <v/>
      </c>
    </row>
    <row r="10" spans="1:18" x14ac:dyDescent="0.35">
      <c r="B10" s="172">
        <v>63</v>
      </c>
      <c r="F10" t="s">
        <v>53</v>
      </c>
      <c r="H10" t="str" cm="1">
        <f t="array" ref="H10">IFERROR(INDEX(List,MATCH(0,INDEX(COUNTIF($H$1:H9,List),),0)),"")</f>
        <v/>
      </c>
      <c r="P10" t="str">
        <f ca="1"/>
        <v/>
      </c>
    </row>
    <row r="11" spans="1:18" x14ac:dyDescent="0.35">
      <c r="B11" s="172">
        <v>70</v>
      </c>
      <c r="H11" t="str" cm="1">
        <f t="array" ref="H11">IFERROR(INDEX(List,MATCH(0,INDEX(COUNTIF($H$1:H10,List),),0)),"")</f>
        <v/>
      </c>
      <c r="P11" t="str">
        <f ca="1"/>
        <v/>
      </c>
    </row>
    <row r="12" spans="1:18" x14ac:dyDescent="0.35">
      <c r="B12" s="172">
        <v>80</v>
      </c>
      <c r="H12" t="str" cm="1">
        <f t="array" ref="H12">IFERROR(INDEX(List,MATCH(0,INDEX(COUNTIF($H$1:H11,List),),0)),"")</f>
        <v/>
      </c>
      <c r="P12" t="str">
        <f ca="1"/>
        <v/>
      </c>
    </row>
    <row r="13" spans="1:18" x14ac:dyDescent="0.35">
      <c r="B13" s="172">
        <v>100</v>
      </c>
      <c r="H13" t="str" cm="1">
        <f t="array" ref="H13">IFERROR(INDEX(List,MATCH(0,INDEX(COUNTIF($H$1:H12,List),),0)),"")</f>
        <v/>
      </c>
      <c r="P13" t="str">
        <f ca="1"/>
        <v/>
      </c>
    </row>
    <row r="14" spans="1:18" x14ac:dyDescent="0.35">
      <c r="B14" s="172">
        <v>125</v>
      </c>
      <c r="H14" t="str" cm="1">
        <f t="array" ref="H14">IFERROR(INDEX(List,MATCH(0,INDEX(COUNTIF($H$1:H13,List),),0)),"")</f>
        <v/>
      </c>
      <c r="P14" t="str">
        <f ca="1"/>
        <v/>
      </c>
    </row>
    <row r="15" spans="1:18" x14ac:dyDescent="0.35">
      <c r="B15" s="172">
        <v>160</v>
      </c>
      <c r="H15" t="str" cm="1">
        <f t="array" ref="H15">IFERROR(INDEX(List,MATCH(0,INDEX(COUNTIF($H$1:H14,List),),0)),"")</f>
        <v/>
      </c>
      <c r="P15" t="str">
        <f ca="1"/>
        <v/>
      </c>
    </row>
    <row r="16" spans="1:18" x14ac:dyDescent="0.35">
      <c r="B16" s="172">
        <v>200</v>
      </c>
      <c r="H16" t="str" cm="1">
        <f t="array" ref="H16">IFERROR(INDEX(List,MATCH(0,INDEX(COUNTIF($H$1:H15,List),),0)),"")</f>
        <v/>
      </c>
      <c r="P16" t="str">
        <f ca="1"/>
        <v/>
      </c>
    </row>
    <row r="17" spans="8:16" x14ac:dyDescent="0.35">
      <c r="H17" t="str" cm="1">
        <f t="array" ref="H17">IFERROR(INDEX(List,MATCH(0,INDEX(COUNTIF($H$1:H16,List),),0)),"")</f>
        <v/>
      </c>
      <c r="P17" t="str">
        <f ca="1"/>
        <v/>
      </c>
    </row>
    <row r="18" spans="8:16" x14ac:dyDescent="0.35">
      <c r="H18" t="str" cm="1">
        <f t="array" ref="H18">IFERROR(INDEX(List,MATCH(0,INDEX(COUNTIF($H$1:H17,List),),0)),"")</f>
        <v/>
      </c>
      <c r="P18" t="str">
        <f ca="1"/>
        <v/>
      </c>
    </row>
    <row r="19" spans="8:16" x14ac:dyDescent="0.35">
      <c r="H19" t="str" cm="1">
        <f t="array" ref="H19">IFERROR(INDEX(List,MATCH(0,INDEX(COUNTIF($H$1:H18,List),),0)),"")</f>
        <v/>
      </c>
      <c r="P19" t="str">
        <f ca="1"/>
        <v/>
      </c>
    </row>
    <row r="20" spans="8:16" x14ac:dyDescent="0.35">
      <c r="H20" t="str" cm="1">
        <f t="array" ref="H20">IFERROR(INDEX(List,MATCH(0,INDEX(COUNTIF($H$1:H19,List),),0)),"")</f>
        <v/>
      </c>
      <c r="P20" t="str">
        <f ca="1"/>
        <v/>
      </c>
    </row>
    <row r="21" spans="8:16" x14ac:dyDescent="0.35">
      <c r="H21" t="str" cm="1">
        <f t="array" ref="H21">IFERROR(INDEX(List,MATCH(0,INDEX(COUNTIF($H$1:H20,List),),0)),"")</f>
        <v/>
      </c>
      <c r="P21" t="str">
        <f ca="1"/>
        <v/>
      </c>
    </row>
    <row r="22" spans="8:16" x14ac:dyDescent="0.35">
      <c r="H22" t="str" cm="1">
        <f t="array" ref="H22">IFERROR(INDEX(List,MATCH(0,INDEX(COUNTIF($H$1:H21,List),),0)),"")</f>
        <v/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1A98D6F9356249B3C18C5631834D3B" ma:contentTypeVersion="12" ma:contentTypeDescription="Create a new document." ma:contentTypeScope="" ma:versionID="9930c04b6bdd192d90785647ab810a79">
  <xsd:schema xmlns:xsd="http://www.w3.org/2001/XMLSchema" xmlns:xs="http://www.w3.org/2001/XMLSchema" xmlns:p="http://schemas.microsoft.com/office/2006/metadata/properties" xmlns:ns2="8f30bb2e-bcb0-48c0-98e0-1c70aec979eb" targetNamespace="http://schemas.microsoft.com/office/2006/metadata/properties" ma:root="true" ma:fieldsID="c0e98e1c7f5e838109453ed5c364f002" ns2:_="">
    <xsd:import namespace="8f30bb2e-bcb0-48c0-98e0-1c70aec97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0bb2e-bcb0-48c0-98e0-1c70aec979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97940fd-bcdb-4af4-8737-0e8af5babd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8ADC15-44D2-40EF-879C-DE851E25A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0bb2e-bcb0-48c0-98e0-1c70aec97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3976F2-0185-4005-BBE5-A61EB1FAFC9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F9B8D3C-0704-445F-B8C7-35827C054F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Envy Experience - Input</vt:lpstr>
      <vt:lpstr>Sheet2</vt:lpstr>
      <vt:lpstr>Envy Experience - Results</vt:lpstr>
      <vt:lpstr>Envy Experience Tracker </vt:lpstr>
      <vt:lpstr>Apthera IOL Exper - Print Old -</vt:lpstr>
      <vt:lpstr>Sheet1</vt:lpstr>
      <vt:lpstr>Parameters</vt:lpstr>
      <vt:lpstr>'Apthera IOL Exper - Print Old -'!List</vt:lpstr>
      <vt:lpstr>'Envy Experience Tracker '!List</vt:lpstr>
      <vt:lpstr>List</vt:lpstr>
      <vt:lpstr>NumVal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 Chris</dc:creator>
  <cp:keywords/>
  <dc:description/>
  <cp:lastModifiedBy>Vila, Jose</cp:lastModifiedBy>
  <cp:revision/>
  <dcterms:created xsi:type="dcterms:W3CDTF">2021-11-04T18:12:47Z</dcterms:created>
  <dcterms:modified xsi:type="dcterms:W3CDTF">2026-10-16T10:03:42Z</dcterms:modified>
  <cp:category/>
  <cp:contentStatus/>
</cp:coreProperties>
</file>